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eurísticas para o PCVC-d\"/>
    </mc:Choice>
  </mc:AlternateContent>
  <xr:revisionPtr revIDLastSave="0" documentId="13_ncr:1_{28F61BB9-BED9-493E-9522-1FCA1D81521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ltados_Construtivas" sheetId="1" r:id="rId1"/>
    <sheet name="Média das dif" sheetId="2" r:id="rId2"/>
  </sheets>
  <definedNames>
    <definedName name="_xlnm._FilterDatabase" localSheetId="0" hidden="1">Resultados_Construtivas!$A$1:$A$150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1" i="2"/>
  <c r="H10" i="2"/>
  <c r="H9" i="2"/>
  <c r="H8" i="2"/>
  <c r="H7" i="2"/>
  <c r="H6" i="2"/>
  <c r="H5" i="2"/>
  <c r="H4" i="2"/>
  <c r="G12" i="2"/>
  <c r="G11" i="2"/>
  <c r="G10" i="2"/>
  <c r="G9" i="2"/>
  <c r="G8" i="2"/>
  <c r="G7" i="2"/>
  <c r="G6" i="2"/>
  <c r="G5" i="2"/>
  <c r="G4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3" i="1"/>
</calcChain>
</file>

<file path=xl/sharedStrings.xml><?xml version="1.0" encoding="utf-8"?>
<sst xmlns="http://schemas.openxmlformats.org/spreadsheetml/2006/main" count="175" uniqueCount="170">
  <si>
    <t>Instance</t>
  </si>
  <si>
    <t>Solution</t>
  </si>
  <si>
    <t>Time</t>
  </si>
  <si>
    <t>berlin52-C-1-0-a</t>
  </si>
  <si>
    <t>berlin52-C-3-0-a</t>
  </si>
  <si>
    <t>berlin52-C-3-0-b</t>
  </si>
  <si>
    <t>berlin52-C-3-0-c</t>
  </si>
  <si>
    <t>berlin52-C-3-1-a</t>
  </si>
  <si>
    <t>berlin52-C-3-1-b</t>
  </si>
  <si>
    <t>berlin52-C-3-1-c</t>
  </si>
  <si>
    <t>berlin52-C-5-0-a</t>
  </si>
  <si>
    <t>berlin52-C-5-0-b</t>
  </si>
  <si>
    <t>berlin52-C-5-0-c</t>
  </si>
  <si>
    <t>berlin52-C-5-1-a</t>
  </si>
  <si>
    <t>berlin52-C-5-1-b</t>
  </si>
  <si>
    <t>berlin52-C-5-1-c</t>
  </si>
  <si>
    <t>berlin52-C-5-3-a</t>
  </si>
  <si>
    <t>berlin52-C-5-3-b</t>
  </si>
  <si>
    <t>berlin52-C-5-3-c</t>
  </si>
  <si>
    <t>berlin52-R-1-0-a</t>
  </si>
  <si>
    <t>berlin52-R-3-0-a</t>
  </si>
  <si>
    <t>berlin52-R-3-0-b</t>
  </si>
  <si>
    <t>berlin52-R-3-0-c</t>
  </si>
  <si>
    <t>berlin52-R-3-1-a</t>
  </si>
  <si>
    <t>berlin52-R-3-1-b</t>
  </si>
  <si>
    <t>berlin52-R-3-1-c</t>
  </si>
  <si>
    <t>berlin52-R-5-0-a</t>
  </si>
  <si>
    <t>berlin52-R-5-0-b</t>
  </si>
  <si>
    <t>berlin52-R-5-0-c</t>
  </si>
  <si>
    <t>berlin52-R-5-1-a</t>
  </si>
  <si>
    <t>berlin52-R-5-1-b</t>
  </si>
  <si>
    <t>berlin52-R-5-1-c</t>
  </si>
  <si>
    <t>berlin52-R-5-3-a</t>
  </si>
  <si>
    <t>berlin52-R-5-3-b</t>
  </si>
  <si>
    <t>berlin52-R-5-3-c</t>
  </si>
  <si>
    <t>kroA100-C-1-0-a</t>
  </si>
  <si>
    <t>kroA100-C-3-0-a</t>
  </si>
  <si>
    <t>kroA100-C-3-1-a</t>
  </si>
  <si>
    <t>kroA100-C-5-0-a</t>
  </si>
  <si>
    <t>kroA100-C-5-1-a</t>
  </si>
  <si>
    <t>kroA100-C-5-3-a</t>
  </si>
  <si>
    <t>kroA100-R-1-0-a</t>
  </si>
  <si>
    <t>kroA100-R-3-0-a</t>
  </si>
  <si>
    <t>kroA100-R-3-1-a</t>
  </si>
  <si>
    <t>kroA100-R-5-0-a</t>
  </si>
  <si>
    <t>kroA100-R-5-1-a</t>
  </si>
  <si>
    <t>kroA100-R-5-3-a</t>
  </si>
  <si>
    <t>kroA200-C-1-0-a</t>
  </si>
  <si>
    <t>kroA200-C-3-0-a</t>
  </si>
  <si>
    <t>kroA200-C-3-1-a</t>
  </si>
  <si>
    <t>kroA200-C-5-0-a</t>
  </si>
  <si>
    <t>kroA200-C-5-1-a</t>
  </si>
  <si>
    <t>kroA200-C-5-3-a</t>
  </si>
  <si>
    <t>kroA200-R-1-0-a</t>
  </si>
  <si>
    <t>kroA200-R-3-0-a</t>
  </si>
  <si>
    <t>kroA200-R-3-1-a</t>
  </si>
  <si>
    <t>kroA200-R-5-0-a</t>
  </si>
  <si>
    <t>kroA200-R-5-1-a</t>
  </si>
  <si>
    <t>kroA200-R-5-3-a</t>
  </si>
  <si>
    <t>kroB100-C-1-0-a</t>
  </si>
  <si>
    <t>kroB100-C-3-0-a</t>
  </si>
  <si>
    <t>kroB100-C-3-1-a</t>
  </si>
  <si>
    <t>kroB100-C-5-0-a</t>
  </si>
  <si>
    <t>kroB100-C-5-1-a</t>
  </si>
  <si>
    <t>kroB100-C-5-3-a</t>
  </si>
  <si>
    <t>kroB100-R-1-0-a</t>
  </si>
  <si>
    <t>kroB100-R-3-0-a</t>
  </si>
  <si>
    <t>kroB100-R-3-1-a</t>
  </si>
  <si>
    <t>kroB100-R-5-0-a</t>
  </si>
  <si>
    <t>kroB100-R-5-1-a</t>
  </si>
  <si>
    <t>kroB100-R-5-3-a</t>
  </si>
  <si>
    <t>kroB200-C-1-0-a</t>
  </si>
  <si>
    <t>kroB200-C-3-0-a</t>
  </si>
  <si>
    <t>kroB200-C-3-1-a</t>
  </si>
  <si>
    <t>kroB200-C-5-0-a</t>
  </si>
  <si>
    <t>kroB200-C-5-1-a</t>
  </si>
  <si>
    <t>kroB200-C-5-3-a</t>
  </si>
  <si>
    <t>kroB200-R-1-0-a</t>
  </si>
  <si>
    <t>kroB200-R-3-0-a</t>
  </si>
  <si>
    <t>kroB200-R-3-1-a</t>
  </si>
  <si>
    <t>kroB200-R-5-0-a</t>
  </si>
  <si>
    <t>kroB200-R-5-1-a</t>
  </si>
  <si>
    <t>kroB200-R-5-3-a</t>
  </si>
  <si>
    <t>kroC100-C-1-0-a</t>
  </si>
  <si>
    <t>kroC100-C-3-0-a</t>
  </si>
  <si>
    <t>kroC100-C-3-1-a</t>
  </si>
  <si>
    <t>kroC100-C-5-0-a</t>
  </si>
  <si>
    <t>kroC100-C-5-1-a</t>
  </si>
  <si>
    <t>kroC100-C-5-3-a</t>
  </si>
  <si>
    <t>kroC100-R-1-0-a</t>
  </si>
  <si>
    <t>kroC100-R-3-0-a</t>
  </si>
  <si>
    <t>kroC100-R-3-1-a</t>
  </si>
  <si>
    <t>kroC100-R-5-0-a</t>
  </si>
  <si>
    <t>kroC100-R-5-1-a</t>
  </si>
  <si>
    <t>kroC100-R-5-3-a</t>
  </si>
  <si>
    <t>kroD100-C-1-0-a</t>
  </si>
  <si>
    <t>kroD100-C-3-0-a</t>
  </si>
  <si>
    <t>kroD100-C-3-1-a</t>
  </si>
  <si>
    <t>kroD100-C-5-0-a</t>
  </si>
  <si>
    <t>kroD100-C-5-1-a</t>
  </si>
  <si>
    <t>kroD100-C-5-3-a</t>
  </si>
  <si>
    <t>kroD100-R-1-0-a</t>
  </si>
  <si>
    <t>kroD100-R-3-0-a</t>
  </si>
  <si>
    <t>kroD100-R-3-1-a</t>
  </si>
  <si>
    <t>kroD100-R-5-0-a</t>
  </si>
  <si>
    <t>kroD100-R-5-1-a</t>
  </si>
  <si>
    <t>kroD100-R-5-3-a</t>
  </si>
  <si>
    <t>kroE100-C-1-0-a</t>
  </si>
  <si>
    <t>kroE100-C-3-0-a</t>
  </si>
  <si>
    <t>kroE100-C-3-1-a</t>
  </si>
  <si>
    <t>kroE100-C-5-0-a</t>
  </si>
  <si>
    <t>kroE100-C-5-1-a</t>
  </si>
  <si>
    <t>kroE100-C-5-3-a</t>
  </si>
  <si>
    <t>kroE100-R-1-0-a</t>
  </si>
  <si>
    <t>kroE100-R-3-0-a</t>
  </si>
  <si>
    <t>kroE100-R-3-1-a</t>
  </si>
  <si>
    <t>kroE100-R-5-0-a</t>
  </si>
  <si>
    <t>kroE100-R-5-1-a</t>
  </si>
  <si>
    <t>kroE100-R-5-3-a</t>
  </si>
  <si>
    <t>swiss42-C-1-0-a</t>
  </si>
  <si>
    <t>swiss42-C-3-0-a</t>
  </si>
  <si>
    <t>swiss42-C-3-0-b</t>
  </si>
  <si>
    <t>swiss42-C-3-0-c</t>
  </si>
  <si>
    <t>swiss42-C-3-1-a</t>
  </si>
  <si>
    <t>swiss42-C-3-1-b</t>
  </si>
  <si>
    <t>swiss42-C-3-1-c</t>
  </si>
  <si>
    <t>swiss42-C-5-0-a</t>
  </si>
  <si>
    <t>swiss42-C-5-0-b</t>
  </si>
  <si>
    <t>swiss42-C-5-0-c</t>
  </si>
  <si>
    <t>swiss42-C-5-1-a</t>
  </si>
  <si>
    <t>swiss42-C-5-1-b</t>
  </si>
  <si>
    <t>swiss42-C-5-1-c</t>
  </si>
  <si>
    <t>swiss42-C-5-3-a</t>
  </si>
  <si>
    <t>swiss42-C-5-3-b</t>
  </si>
  <si>
    <t>swiss42-C-5-3-c</t>
  </si>
  <si>
    <t>swiss42-R-1-0-a</t>
  </si>
  <si>
    <t>swiss42-R-3-0-a</t>
  </si>
  <si>
    <t>swiss42-R-3-0-b</t>
  </si>
  <si>
    <t>swiss42-R-3-0-c</t>
  </si>
  <si>
    <t>swiss42-R-3-1-a</t>
  </si>
  <si>
    <t>swiss42-R-3-1-b</t>
  </si>
  <si>
    <t>swiss42-R-3-1-c</t>
  </si>
  <si>
    <t>swiss42-R-5-0-a</t>
  </si>
  <si>
    <t>swiss42-R-5-0-b</t>
  </si>
  <si>
    <t>swiss42-R-5-0-c</t>
  </si>
  <si>
    <t>swiss42-R-5-1-a</t>
  </si>
  <si>
    <t>swiss42-R-5-1-b</t>
  </si>
  <si>
    <t>swiss42-R-5-1-c</t>
  </si>
  <si>
    <t>swiss42-R-5-3-a</t>
  </si>
  <si>
    <t>swiss42-R-5-3-b</t>
  </si>
  <si>
    <t>swiss42-R-5-3-c</t>
  </si>
  <si>
    <t>Dif(%)</t>
  </si>
  <si>
    <t>Vizinho mais próximo d-relaxado</t>
  </si>
  <si>
    <t>Inserção d-relaxada</t>
  </si>
  <si>
    <t>GILS-RVND</t>
  </si>
  <si>
    <t>Best</t>
  </si>
  <si>
    <t>Gapav</t>
  </si>
  <si>
    <t>Timeav</t>
  </si>
  <si>
    <t>Solav</t>
  </si>
  <si>
    <t>Instâncias</t>
  </si>
  <si>
    <r>
      <t xml:space="preserve">Média das </t>
    </r>
    <r>
      <rPr>
        <i/>
        <sz val="11"/>
        <color theme="1"/>
        <rFont val="Calibri"/>
        <family val="2"/>
        <scheme val="minor"/>
      </rPr>
      <t>Dif</t>
    </r>
    <r>
      <rPr>
        <sz val="11"/>
        <color theme="1"/>
        <rFont val="Calibri"/>
        <family val="2"/>
        <scheme val="minor"/>
      </rPr>
      <t>(%)</t>
    </r>
  </si>
  <si>
    <t>berlin52</t>
  </si>
  <si>
    <t>kroA100</t>
  </si>
  <si>
    <t>kroA200</t>
  </si>
  <si>
    <t>kroB100</t>
  </si>
  <si>
    <t>kroB200</t>
  </si>
  <si>
    <t>kroC100</t>
  </si>
  <si>
    <t>kroD100</t>
  </si>
  <si>
    <t>kroE100</t>
  </si>
  <si>
    <t>swiss42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</si>
</sst>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4" xfId="0" applyBorder="1"/>
    <xf numFmtId="4" fontId="0" fillId="0" borderId="3" xfId="0" applyNumberFormat="1" applyBorder="1"/>
    <xf numFmtId="4" fontId="0" fillId="0" borderId="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4" fontId="0" fillId="0" borderId="0" xfId="0" applyNumberFormat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3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4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/>
    </xf>
    <xf numFmtId="0" fontId="1" fillId="0" borderId="3" xfId="0" applyFont="1" applyBorder="1"/>
    <xf numFmtId="2" fontId="0" fillId="0" borderId="10" xfId="0" applyNumberFormat="1" applyBorder="1"/>
    <xf numFmtId="2" fontId="0" fillId="0" borderId="4" xfId="0" applyNumberFormat="1" applyBorder="1"/>
    <xf numFmtId="17" fontId="0" fillId="0" borderId="0" xfId="0" applyNumberForma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</cellXfs>
  <cellStyles count="1">
    <cellStyle name="Normal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opLeftCell="A97" workbookViewId="0">
      <selection activeCell="N131" sqref="N131"/>
    </sheetView>
  </sheetViews>
  <sheetFormatPr defaultRowHeight="15" x14ac:dyDescent="0.25"/>
  <cols>
    <col min="1" max="1" width="19.85546875" customWidth="1"/>
    <col min="2" max="2" width="17.140625" customWidth="1"/>
    <col min="3" max="3" width="23.140625" customWidth="1"/>
    <col min="4" max="4" width="18.85546875" customWidth="1"/>
    <col min="5" max="5" width="19.7109375" customWidth="1"/>
    <col min="6" max="6" width="20.85546875" customWidth="1"/>
    <col min="7" max="7" width="13.42578125" customWidth="1"/>
    <col min="8" max="8" width="14" customWidth="1"/>
    <col min="9" max="9" width="14.5703125" customWidth="1"/>
    <col min="10" max="10" width="17.5703125" customWidth="1"/>
    <col min="11" max="11" width="24.140625" customWidth="1"/>
    <col min="12" max="12" width="16.5703125" customWidth="1"/>
    <col min="13" max="13" width="16.7109375" customWidth="1"/>
  </cols>
  <sheetData>
    <row r="1" spans="1:16" x14ac:dyDescent="0.25">
      <c r="A1" s="4"/>
      <c r="B1" s="36" t="s">
        <v>152</v>
      </c>
      <c r="C1" s="37"/>
      <c r="D1" s="38"/>
      <c r="E1" s="36" t="s">
        <v>153</v>
      </c>
      <c r="F1" s="37"/>
      <c r="G1" s="38"/>
      <c r="H1" s="36" t="s">
        <v>154</v>
      </c>
      <c r="I1" s="37"/>
      <c r="J1" s="37"/>
      <c r="K1" s="37"/>
      <c r="L1" s="3"/>
      <c r="M1" s="39"/>
      <c r="N1" s="39"/>
      <c r="O1" s="39"/>
      <c r="P1" s="39"/>
    </row>
    <row r="2" spans="1:16" x14ac:dyDescent="0.25">
      <c r="A2" s="5" t="s">
        <v>0</v>
      </c>
      <c r="B2" s="24" t="s">
        <v>1</v>
      </c>
      <c r="C2" s="25" t="s">
        <v>151</v>
      </c>
      <c r="D2" s="26" t="s">
        <v>2</v>
      </c>
      <c r="E2" s="24" t="s">
        <v>1</v>
      </c>
      <c r="F2" s="25" t="s">
        <v>151</v>
      </c>
      <c r="G2" s="26" t="s">
        <v>2</v>
      </c>
      <c r="H2" s="24" t="s">
        <v>155</v>
      </c>
      <c r="I2" s="25" t="s">
        <v>156</v>
      </c>
      <c r="J2" s="27" t="s">
        <v>157</v>
      </c>
      <c r="K2" s="24" t="s">
        <v>158</v>
      </c>
      <c r="L2" s="3"/>
      <c r="M2" s="30"/>
      <c r="N2" s="30"/>
      <c r="O2" s="30"/>
      <c r="P2" s="30"/>
    </row>
    <row r="3" spans="1:16" x14ac:dyDescent="0.25">
      <c r="A3" t="s">
        <v>3</v>
      </c>
      <c r="B3" s="7">
        <v>8980</v>
      </c>
      <c r="C3" s="33">
        <f>((B3 -H3)/B3 * 100)</f>
        <v>16.013363028953229</v>
      </c>
      <c r="D3" s="9">
        <v>3.0519999563694E-4</v>
      </c>
      <c r="E3" s="7">
        <v>8307</v>
      </c>
      <c r="F3" s="33">
        <f>((E3 - H3)/H3 * 100)</f>
        <v>10.143198090692124</v>
      </c>
      <c r="G3" s="9">
        <v>1.487899993662722E-3</v>
      </c>
      <c r="H3" s="11">
        <v>7542</v>
      </c>
      <c r="I3" s="12">
        <v>0</v>
      </c>
      <c r="J3" s="12">
        <v>7.86</v>
      </c>
      <c r="K3" s="28"/>
      <c r="L3" s="3"/>
      <c r="M3" s="11"/>
      <c r="N3" s="11"/>
      <c r="O3" s="11"/>
    </row>
    <row r="4" spans="1:16" x14ac:dyDescent="0.25">
      <c r="A4" t="s">
        <v>4</v>
      </c>
      <c r="B4" s="7">
        <v>9401</v>
      </c>
      <c r="C4" s="33">
        <f t="shared" ref="C4:C67" si="0">((B4 -H4)/B4 * 100)</f>
        <v>13.370917987448145</v>
      </c>
      <c r="D4" s="9">
        <v>2.8749997727572918E-4</v>
      </c>
      <c r="E4" s="7">
        <v>8642</v>
      </c>
      <c r="F4" s="33">
        <f t="shared" ref="F4:F67" si="1">((E4 - H4)/H4 * 100)</f>
        <v>6.1149312377210219</v>
      </c>
      <c r="G4" s="9">
        <v>1.2291000020923091E-3</v>
      </c>
      <c r="H4" s="14">
        <v>8144</v>
      </c>
      <c r="I4" s="13">
        <v>0</v>
      </c>
      <c r="J4" s="13">
        <v>7.59</v>
      </c>
      <c r="K4" s="3"/>
      <c r="L4" s="3"/>
      <c r="M4" s="11"/>
      <c r="N4" s="11"/>
      <c r="O4" s="11"/>
    </row>
    <row r="5" spans="1:16" x14ac:dyDescent="0.25">
      <c r="A5" t="s">
        <v>5</v>
      </c>
      <c r="B5" s="7">
        <v>8699</v>
      </c>
      <c r="C5" s="33">
        <f t="shared" si="0"/>
        <v>7.8514771812852047</v>
      </c>
      <c r="D5" s="9">
        <v>2.788999117910862E-4</v>
      </c>
      <c r="E5" s="7">
        <v>8868</v>
      </c>
      <c r="F5" s="33">
        <f t="shared" si="1"/>
        <v>10.62874251497006</v>
      </c>
      <c r="G5" s="9">
        <v>7.5940000533591956E-4</v>
      </c>
      <c r="H5" s="14">
        <v>8016</v>
      </c>
      <c r="I5" s="13">
        <v>0</v>
      </c>
      <c r="J5" s="13">
        <v>5.96</v>
      </c>
      <c r="K5" s="3"/>
      <c r="L5" s="3"/>
      <c r="M5" s="11"/>
      <c r="N5" s="11"/>
      <c r="O5" s="11"/>
    </row>
    <row r="6" spans="1:16" x14ac:dyDescent="0.25">
      <c r="A6" t="s">
        <v>6</v>
      </c>
      <c r="B6" s="7">
        <v>11089</v>
      </c>
      <c r="C6" s="33">
        <f t="shared" si="0"/>
        <v>18.071963206781493</v>
      </c>
      <c r="D6" s="9">
        <v>2.8600008226931101E-4</v>
      </c>
      <c r="E6" s="7">
        <v>10418</v>
      </c>
      <c r="F6" s="33">
        <f t="shared" si="1"/>
        <v>14.672537149146944</v>
      </c>
      <c r="G6" s="9">
        <v>9.5620000502094626E-4</v>
      </c>
      <c r="H6" s="14">
        <v>9085</v>
      </c>
      <c r="I6" s="13">
        <v>7.0000000000000007E-2</v>
      </c>
      <c r="J6" s="13">
        <v>6.77</v>
      </c>
      <c r="K6" s="3"/>
      <c r="L6" s="3"/>
      <c r="M6" s="11"/>
      <c r="N6" s="11"/>
      <c r="O6" s="11"/>
    </row>
    <row r="7" spans="1:16" x14ac:dyDescent="0.25">
      <c r="A7" t="s">
        <v>7</v>
      </c>
      <c r="B7" s="7">
        <v>10339</v>
      </c>
      <c r="C7" s="33">
        <f t="shared" si="0"/>
        <v>23.087339201083275</v>
      </c>
      <c r="D7" s="9">
        <v>3.1130004208534961E-4</v>
      </c>
      <c r="E7" s="7">
        <v>8642</v>
      </c>
      <c r="F7" s="33">
        <f t="shared" si="1"/>
        <v>8.6770623742454731</v>
      </c>
      <c r="G7" s="9">
        <v>1.2818999966839331E-3</v>
      </c>
      <c r="H7" s="14">
        <v>7952</v>
      </c>
      <c r="I7" s="13">
        <v>0</v>
      </c>
      <c r="J7" s="13">
        <v>8.61</v>
      </c>
      <c r="K7" s="3"/>
      <c r="L7" s="3"/>
      <c r="M7" s="11"/>
      <c r="N7" s="11"/>
      <c r="O7" s="11"/>
    </row>
    <row r="8" spans="1:16" x14ac:dyDescent="0.25">
      <c r="A8" t="s">
        <v>8</v>
      </c>
      <c r="B8" s="7">
        <v>10061</v>
      </c>
      <c r="C8" s="33">
        <f t="shared" si="0"/>
        <v>24.500546665341417</v>
      </c>
      <c r="D8" s="9">
        <v>2.9900006484240288E-4</v>
      </c>
      <c r="E8" s="7">
        <v>8602</v>
      </c>
      <c r="F8" s="33">
        <f t="shared" si="1"/>
        <v>13.243812532912058</v>
      </c>
      <c r="G8" s="9">
        <v>1.075599997420795E-3</v>
      </c>
      <c r="H8" s="14">
        <v>7596</v>
      </c>
      <c r="I8" s="13">
        <v>0</v>
      </c>
      <c r="J8" s="13">
        <v>7.24</v>
      </c>
      <c r="K8" s="3"/>
      <c r="L8" s="3"/>
      <c r="M8" s="11"/>
      <c r="N8" s="11"/>
      <c r="O8" s="11"/>
    </row>
    <row r="9" spans="1:16" x14ac:dyDescent="0.25">
      <c r="A9" t="s">
        <v>9</v>
      </c>
      <c r="B9" s="7">
        <v>8980</v>
      </c>
      <c r="C9" s="33">
        <f t="shared" si="0"/>
        <v>11.091314031180401</v>
      </c>
      <c r="D9" s="9">
        <v>3.1419994775205851E-4</v>
      </c>
      <c r="E9" s="7">
        <v>9385</v>
      </c>
      <c r="F9" s="33">
        <f t="shared" si="1"/>
        <v>17.547595190380761</v>
      </c>
      <c r="G9" s="9">
        <v>1.382199989166111E-3</v>
      </c>
      <c r="H9" s="14">
        <v>7984</v>
      </c>
      <c r="I9" s="13">
        <v>0</v>
      </c>
      <c r="J9" s="13">
        <v>8.1999999999999993</v>
      </c>
      <c r="K9" s="3"/>
      <c r="L9" s="3"/>
      <c r="M9" s="11"/>
      <c r="N9" s="11"/>
      <c r="O9" s="11"/>
    </row>
    <row r="10" spans="1:16" x14ac:dyDescent="0.25">
      <c r="A10" t="s">
        <v>10</v>
      </c>
      <c r="B10" s="7">
        <v>11717</v>
      </c>
      <c r="C10" s="33">
        <f t="shared" si="0"/>
        <v>19.518648118118971</v>
      </c>
      <c r="D10" s="9">
        <v>3.187000984326005E-4</v>
      </c>
      <c r="E10" s="7">
        <v>10619</v>
      </c>
      <c r="F10" s="33">
        <f t="shared" si="1"/>
        <v>12.608695652173912</v>
      </c>
      <c r="G10" s="9">
        <v>8.5340000805445015E-4</v>
      </c>
      <c r="H10" s="14">
        <v>9430</v>
      </c>
      <c r="I10" s="13">
        <v>0</v>
      </c>
      <c r="J10" s="13">
        <v>5.85</v>
      </c>
      <c r="K10" s="3"/>
      <c r="L10" s="3"/>
      <c r="M10" s="11"/>
      <c r="N10" s="11"/>
      <c r="O10" s="11"/>
    </row>
    <row r="11" spans="1:16" x14ac:dyDescent="0.25">
      <c r="A11" t="s">
        <v>11</v>
      </c>
      <c r="B11" s="7">
        <v>10669</v>
      </c>
      <c r="C11" s="33">
        <f t="shared" si="0"/>
        <v>18.745899334520573</v>
      </c>
      <c r="D11" s="9">
        <v>2.7660001069307333E-4</v>
      </c>
      <c r="E11" s="7">
        <v>9181</v>
      </c>
      <c r="F11" s="33">
        <f t="shared" si="1"/>
        <v>5.9061022032529706</v>
      </c>
      <c r="G11" s="9">
        <v>8.4379999316297472E-4</v>
      </c>
      <c r="H11" s="14">
        <v>8669</v>
      </c>
      <c r="I11" s="13">
        <v>0</v>
      </c>
      <c r="J11" s="13">
        <v>5.13</v>
      </c>
      <c r="K11" s="3"/>
      <c r="L11" s="3"/>
      <c r="M11" s="11"/>
      <c r="N11" s="11"/>
      <c r="O11" s="11"/>
    </row>
    <row r="12" spans="1:16" x14ac:dyDescent="0.25">
      <c r="A12" t="s">
        <v>12</v>
      </c>
      <c r="B12" s="7">
        <v>10455</v>
      </c>
      <c r="C12" s="33">
        <f t="shared" si="0"/>
        <v>7.6901004304160692</v>
      </c>
      <c r="D12" s="9">
        <v>2.7540000155568117E-4</v>
      </c>
      <c r="E12" s="7">
        <v>9819</v>
      </c>
      <c r="F12" s="33">
        <f t="shared" si="1"/>
        <v>1.7407522536524711</v>
      </c>
      <c r="G12" s="9">
        <v>7.2649998764973134E-4</v>
      </c>
      <c r="H12" s="14">
        <v>9651</v>
      </c>
      <c r="I12" s="13">
        <v>0</v>
      </c>
      <c r="J12" s="13">
        <v>5.69</v>
      </c>
      <c r="K12" s="3"/>
      <c r="L12" s="3"/>
      <c r="M12" s="11"/>
      <c r="N12" s="11"/>
      <c r="O12" s="11"/>
    </row>
    <row r="13" spans="1:16" x14ac:dyDescent="0.25">
      <c r="A13" t="s">
        <v>13</v>
      </c>
      <c r="B13" s="7">
        <v>11497</v>
      </c>
      <c r="C13" s="33">
        <f t="shared" si="0"/>
        <v>23.362616334696007</v>
      </c>
      <c r="D13" s="9">
        <v>2.9240001458674669E-4</v>
      </c>
      <c r="E13" s="7">
        <v>10729</v>
      </c>
      <c r="F13" s="33">
        <f t="shared" si="1"/>
        <v>21.768244240154353</v>
      </c>
      <c r="G13" s="9">
        <v>9.867000044323504E-4</v>
      </c>
      <c r="H13" s="14">
        <v>8811</v>
      </c>
      <c r="I13" s="13">
        <v>0.1</v>
      </c>
      <c r="J13" s="13">
        <v>7.15</v>
      </c>
      <c r="K13" s="3"/>
      <c r="L13" s="3"/>
      <c r="M13" s="11"/>
      <c r="N13" s="11"/>
      <c r="O13" s="11"/>
    </row>
    <row r="14" spans="1:16" x14ac:dyDescent="0.25">
      <c r="A14" t="s">
        <v>14</v>
      </c>
      <c r="B14" s="7">
        <v>9432</v>
      </c>
      <c r="C14" s="33">
        <f t="shared" si="0"/>
        <v>15.73367260390161</v>
      </c>
      <c r="D14" s="9">
        <v>2.9520003590732807E-4</v>
      </c>
      <c r="E14" s="7">
        <v>9060</v>
      </c>
      <c r="F14" s="33">
        <f t="shared" si="1"/>
        <v>13.990941117262205</v>
      </c>
      <c r="G14" s="9">
        <v>1.1490999895613641E-3</v>
      </c>
      <c r="H14" s="14">
        <v>7948</v>
      </c>
      <c r="I14" s="13">
        <v>0</v>
      </c>
      <c r="J14" s="13">
        <v>6.51</v>
      </c>
      <c r="K14" s="3"/>
      <c r="L14" s="3"/>
      <c r="M14" s="11"/>
      <c r="N14" s="11"/>
      <c r="O14" s="11"/>
    </row>
    <row r="15" spans="1:16" x14ac:dyDescent="0.25">
      <c r="A15" t="s">
        <v>15</v>
      </c>
      <c r="B15" s="7">
        <v>10458</v>
      </c>
      <c r="C15" s="33">
        <f t="shared" si="0"/>
        <v>18.636450564161407</v>
      </c>
      <c r="D15" s="9">
        <v>2.8149993158876901E-4</v>
      </c>
      <c r="E15" s="7">
        <v>9655</v>
      </c>
      <c r="F15" s="33">
        <f t="shared" si="1"/>
        <v>13.468092607827007</v>
      </c>
      <c r="G15" s="9">
        <v>9.0339999587740749E-4</v>
      </c>
      <c r="H15" s="14">
        <v>8509</v>
      </c>
      <c r="I15" s="13">
        <v>0</v>
      </c>
      <c r="J15" s="13">
        <v>7.01</v>
      </c>
      <c r="K15" s="3"/>
      <c r="L15" s="3"/>
      <c r="M15" s="11"/>
      <c r="N15" s="11"/>
      <c r="O15" s="11"/>
    </row>
    <row r="16" spans="1:16" x14ac:dyDescent="0.25">
      <c r="A16" t="s">
        <v>16</v>
      </c>
      <c r="B16" s="7">
        <v>9432</v>
      </c>
      <c r="C16" s="33">
        <f t="shared" si="0"/>
        <v>16.168363019508057</v>
      </c>
      <c r="D16" s="9">
        <v>2.9949995223432779E-4</v>
      </c>
      <c r="E16" s="7">
        <v>10535</v>
      </c>
      <c r="F16" s="33">
        <f t="shared" si="1"/>
        <v>33.236372834197546</v>
      </c>
      <c r="G16" s="9">
        <v>1.3841000036336479E-3</v>
      </c>
      <c r="H16" s="14">
        <v>7907</v>
      </c>
      <c r="I16" s="13">
        <v>0.48</v>
      </c>
      <c r="J16" s="13">
        <v>8.75</v>
      </c>
      <c r="K16" s="3"/>
      <c r="L16" s="3"/>
      <c r="M16" s="11"/>
      <c r="N16" s="11"/>
      <c r="O16" s="11"/>
    </row>
    <row r="17" spans="1:15" x14ac:dyDescent="0.25">
      <c r="A17" t="s">
        <v>17</v>
      </c>
      <c r="B17" s="7">
        <v>10085</v>
      </c>
      <c r="C17" s="33">
        <f t="shared" si="0"/>
        <v>24.501735250371841</v>
      </c>
      <c r="D17" s="9">
        <v>2.91600008495152E-4</v>
      </c>
      <c r="E17" s="7">
        <v>9442</v>
      </c>
      <c r="F17" s="33">
        <f t="shared" si="1"/>
        <v>24.008405568689255</v>
      </c>
      <c r="G17" s="9">
        <v>1.615399989532307E-3</v>
      </c>
      <c r="H17" s="14">
        <v>7614</v>
      </c>
      <c r="I17" s="13">
        <v>0</v>
      </c>
      <c r="J17" s="13">
        <v>7.11</v>
      </c>
      <c r="K17" s="3"/>
      <c r="L17" s="3"/>
      <c r="M17" s="29"/>
      <c r="N17" s="29"/>
      <c r="O17" s="29"/>
    </row>
    <row r="18" spans="1:15" x14ac:dyDescent="0.25">
      <c r="A18" t="s">
        <v>18</v>
      </c>
      <c r="B18" s="7">
        <v>10191</v>
      </c>
      <c r="C18" s="33">
        <f t="shared" si="0"/>
        <v>25.120204101658327</v>
      </c>
      <c r="D18" s="9">
        <v>3.2250001095235348E-4</v>
      </c>
      <c r="E18" s="7">
        <v>8550</v>
      </c>
      <c r="F18" s="33">
        <f t="shared" si="1"/>
        <v>12.042982571091599</v>
      </c>
      <c r="G18" s="9">
        <v>1.2017999979434531E-3</v>
      </c>
      <c r="H18" s="14">
        <v>7631</v>
      </c>
      <c r="I18" s="13">
        <v>0</v>
      </c>
      <c r="J18" s="13">
        <v>8.07</v>
      </c>
      <c r="K18" s="3"/>
      <c r="L18" s="3"/>
      <c r="M18" s="29"/>
      <c r="N18" s="29"/>
      <c r="O18" s="29"/>
    </row>
    <row r="19" spans="1:15" x14ac:dyDescent="0.25">
      <c r="A19" t="s">
        <v>19</v>
      </c>
      <c r="B19" s="7">
        <v>8980</v>
      </c>
      <c r="C19" s="33">
        <f t="shared" si="0"/>
        <v>16.013363028953229</v>
      </c>
      <c r="D19" s="9">
        <v>3.0610000248998398E-4</v>
      </c>
      <c r="E19" s="7">
        <v>8307</v>
      </c>
      <c r="F19" s="33">
        <f t="shared" si="1"/>
        <v>10.143198090692124</v>
      </c>
      <c r="G19" s="9">
        <v>1.474899996537715E-3</v>
      </c>
      <c r="H19" s="15">
        <v>7542</v>
      </c>
      <c r="I19" s="16">
        <v>0</v>
      </c>
      <c r="J19" s="16">
        <v>7.69</v>
      </c>
      <c r="K19" s="3"/>
      <c r="L19" s="3"/>
      <c r="M19" s="29"/>
      <c r="N19" s="29"/>
      <c r="O19" s="29"/>
    </row>
    <row r="20" spans="1:15" x14ac:dyDescent="0.25">
      <c r="A20" t="s">
        <v>20</v>
      </c>
      <c r="B20" s="7">
        <v>15271</v>
      </c>
      <c r="C20" s="33">
        <f t="shared" si="0"/>
        <v>16.410189247593479</v>
      </c>
      <c r="D20" s="9">
        <v>2.8740009292960172E-4</v>
      </c>
      <c r="E20" s="7">
        <v>14149</v>
      </c>
      <c r="F20" s="33">
        <f t="shared" si="1"/>
        <v>10.842146494320408</v>
      </c>
      <c r="G20" s="9">
        <v>7.7959999907761812E-4</v>
      </c>
      <c r="H20" s="15">
        <v>12765</v>
      </c>
      <c r="I20" s="16">
        <v>0</v>
      </c>
      <c r="J20" s="16">
        <v>6.32</v>
      </c>
      <c r="K20" s="3"/>
      <c r="L20" s="3"/>
      <c r="M20" s="29"/>
      <c r="N20" s="29"/>
      <c r="O20" s="29"/>
    </row>
    <row r="21" spans="1:15" x14ac:dyDescent="0.25">
      <c r="A21" t="s">
        <v>21</v>
      </c>
      <c r="B21" s="7">
        <v>15279</v>
      </c>
      <c r="C21" s="33">
        <f t="shared" si="0"/>
        <v>17.088814713004776</v>
      </c>
      <c r="D21" s="9">
        <v>2.8380006551742548E-4</v>
      </c>
      <c r="E21" s="7">
        <v>14233</v>
      </c>
      <c r="F21" s="33">
        <f t="shared" si="1"/>
        <v>12.35396274076413</v>
      </c>
      <c r="G21" s="9">
        <v>7.8269999357871711E-4</v>
      </c>
      <c r="H21" s="15">
        <v>12668</v>
      </c>
      <c r="I21" s="16">
        <v>0</v>
      </c>
      <c r="J21" s="16">
        <v>6.49</v>
      </c>
      <c r="K21" s="3"/>
      <c r="L21" s="3"/>
      <c r="M21" s="29"/>
      <c r="N21" s="29"/>
      <c r="O21" s="29"/>
    </row>
    <row r="22" spans="1:15" x14ac:dyDescent="0.25">
      <c r="A22" t="s">
        <v>22</v>
      </c>
      <c r="B22" s="7">
        <v>14282</v>
      </c>
      <c r="C22" s="33">
        <f t="shared" si="0"/>
        <v>12.596275031508192</v>
      </c>
      <c r="D22" s="9">
        <v>2.9060000088065863E-4</v>
      </c>
      <c r="E22" s="7">
        <v>14402</v>
      </c>
      <c r="F22" s="33">
        <f t="shared" si="1"/>
        <v>15.37290715372907</v>
      </c>
      <c r="G22" s="9">
        <v>9.8379999690223485E-4</v>
      </c>
      <c r="H22" s="15">
        <v>12483</v>
      </c>
      <c r="I22" s="16">
        <v>0</v>
      </c>
      <c r="J22" s="16">
        <v>6.37</v>
      </c>
      <c r="K22" s="3"/>
      <c r="L22" s="3"/>
      <c r="M22" s="29"/>
      <c r="N22" s="29"/>
      <c r="O22" s="29"/>
    </row>
    <row r="23" spans="1:15" x14ac:dyDescent="0.25">
      <c r="A23" t="s">
        <v>23</v>
      </c>
      <c r="B23" s="7">
        <v>11063</v>
      </c>
      <c r="C23" s="33">
        <f t="shared" si="0"/>
        <v>14.372231763536112</v>
      </c>
      <c r="D23" s="9">
        <v>2.9870006255805492E-4</v>
      </c>
      <c r="E23" s="7">
        <v>12269</v>
      </c>
      <c r="F23" s="33">
        <f t="shared" si="1"/>
        <v>29.515465005805975</v>
      </c>
      <c r="G23" s="9">
        <v>9.7760000790003687E-4</v>
      </c>
      <c r="H23" s="15">
        <v>9473</v>
      </c>
      <c r="I23" s="16">
        <v>0</v>
      </c>
      <c r="J23" s="16">
        <v>8.27</v>
      </c>
      <c r="K23" s="3"/>
      <c r="L23" s="3"/>
      <c r="M23" s="29"/>
      <c r="N23" s="29"/>
      <c r="O23" s="29"/>
    </row>
    <row r="24" spans="1:15" x14ac:dyDescent="0.25">
      <c r="A24" t="s">
        <v>24</v>
      </c>
      <c r="B24" s="7">
        <v>12247</v>
      </c>
      <c r="C24" s="33">
        <f t="shared" si="0"/>
        <v>23.091369314934269</v>
      </c>
      <c r="D24" s="9">
        <v>3.2350001856684679E-4</v>
      </c>
      <c r="E24" s="7">
        <v>11659</v>
      </c>
      <c r="F24" s="33">
        <f t="shared" si="1"/>
        <v>23.781717804437839</v>
      </c>
      <c r="G24" s="9">
        <v>9.7010000899899751E-4</v>
      </c>
      <c r="H24" s="15">
        <v>9419</v>
      </c>
      <c r="I24" s="16">
        <v>0</v>
      </c>
      <c r="J24" s="16">
        <v>7.02</v>
      </c>
      <c r="K24" s="3"/>
      <c r="L24" s="3"/>
      <c r="M24" s="29"/>
      <c r="N24" s="29"/>
      <c r="O24" s="29"/>
    </row>
    <row r="25" spans="1:15" x14ac:dyDescent="0.25">
      <c r="A25" t="s">
        <v>25</v>
      </c>
      <c r="B25" s="7">
        <v>10518</v>
      </c>
      <c r="C25" s="33">
        <f t="shared" si="0"/>
        <v>8.946567788552958</v>
      </c>
      <c r="D25" s="9">
        <v>2.962000435218215E-4</v>
      </c>
      <c r="E25" s="7">
        <v>11586</v>
      </c>
      <c r="F25" s="33">
        <f t="shared" si="1"/>
        <v>20.977341547457449</v>
      </c>
      <c r="G25" s="9">
        <v>9.7090000053867698E-4</v>
      </c>
      <c r="H25" s="15">
        <v>9577</v>
      </c>
      <c r="I25" s="16">
        <v>0</v>
      </c>
      <c r="J25" s="16">
        <v>8.32</v>
      </c>
      <c r="K25" s="3"/>
      <c r="L25" s="3"/>
      <c r="M25" s="29"/>
      <c r="N25" s="29"/>
      <c r="O25" s="29"/>
    </row>
    <row r="26" spans="1:15" x14ac:dyDescent="0.25">
      <c r="A26" t="s">
        <v>26</v>
      </c>
      <c r="B26" s="7">
        <v>19174</v>
      </c>
      <c r="C26" s="33">
        <f t="shared" si="0"/>
        <v>14.394492541983936</v>
      </c>
      <c r="D26" s="9">
        <v>2.7790002059191471E-4</v>
      </c>
      <c r="E26" s="7">
        <v>19952</v>
      </c>
      <c r="F26" s="33">
        <f t="shared" si="1"/>
        <v>21.554770318021202</v>
      </c>
      <c r="G26" s="9">
        <v>5.9669998881872743E-4</v>
      </c>
      <c r="H26" s="15">
        <v>16414</v>
      </c>
      <c r="I26" s="16">
        <v>0</v>
      </c>
      <c r="J26" s="16">
        <v>5.73</v>
      </c>
      <c r="K26" s="3"/>
      <c r="L26" s="3"/>
      <c r="M26" s="29"/>
      <c r="N26" s="29"/>
      <c r="O26" s="29"/>
    </row>
    <row r="27" spans="1:15" x14ac:dyDescent="0.25">
      <c r="A27" t="s">
        <v>27</v>
      </c>
      <c r="B27" s="7">
        <v>15652</v>
      </c>
      <c r="C27" s="33">
        <f t="shared" si="0"/>
        <v>12.09430104778942</v>
      </c>
      <c r="D27" s="9">
        <v>2.7509999927133322E-4</v>
      </c>
      <c r="E27" s="7">
        <v>16385</v>
      </c>
      <c r="F27" s="33">
        <f t="shared" si="1"/>
        <v>19.085689366959809</v>
      </c>
      <c r="G27" s="9">
        <v>5.9440000040922314E-4</v>
      </c>
      <c r="H27" s="15">
        <v>13759</v>
      </c>
      <c r="I27" s="16">
        <v>0</v>
      </c>
      <c r="J27" s="16">
        <v>5.79</v>
      </c>
      <c r="K27" s="3"/>
      <c r="L27" s="3"/>
      <c r="M27" s="29"/>
      <c r="N27" s="29"/>
      <c r="O27" s="29"/>
    </row>
    <row r="28" spans="1:15" x14ac:dyDescent="0.25">
      <c r="A28" t="s">
        <v>28</v>
      </c>
      <c r="B28" s="7">
        <v>16264</v>
      </c>
      <c r="C28" s="33">
        <f t="shared" si="0"/>
        <v>13.11485489424496</v>
      </c>
      <c r="D28" s="9">
        <v>2.7439999394118791E-4</v>
      </c>
      <c r="E28" s="7">
        <v>16568</v>
      </c>
      <c r="F28" s="33">
        <f t="shared" si="1"/>
        <v>17.245771707593235</v>
      </c>
      <c r="G28" s="9">
        <v>5.96800004132092E-4</v>
      </c>
      <c r="H28" s="15">
        <v>14131</v>
      </c>
      <c r="I28" s="16">
        <v>0</v>
      </c>
      <c r="J28" s="16">
        <v>6.48</v>
      </c>
      <c r="K28" s="3"/>
      <c r="L28" s="3"/>
    </row>
    <row r="29" spans="1:15" x14ac:dyDescent="0.25">
      <c r="A29" t="s">
        <v>29</v>
      </c>
      <c r="B29" s="7">
        <v>14957</v>
      </c>
      <c r="C29" s="33">
        <f t="shared" si="0"/>
        <v>22.103362973858395</v>
      </c>
      <c r="D29" s="9">
        <v>3.27700050547719E-4</v>
      </c>
      <c r="E29" s="7">
        <v>14496</v>
      </c>
      <c r="F29" s="33">
        <f t="shared" si="1"/>
        <v>24.418504849369153</v>
      </c>
      <c r="G29" s="9">
        <v>8.1340000906493515E-4</v>
      </c>
      <c r="H29" s="15">
        <v>11651</v>
      </c>
      <c r="I29" s="16">
        <v>0</v>
      </c>
      <c r="J29" s="16">
        <v>6.93</v>
      </c>
      <c r="K29" s="3"/>
      <c r="L29" s="3"/>
    </row>
    <row r="30" spans="1:15" x14ac:dyDescent="0.25">
      <c r="A30" t="s">
        <v>30</v>
      </c>
      <c r="B30" s="7">
        <v>13007</v>
      </c>
      <c r="C30" s="33">
        <f t="shared" si="0"/>
        <v>23.448912124240792</v>
      </c>
      <c r="D30" s="9">
        <v>2.8489995747804642E-4</v>
      </c>
      <c r="E30" s="7">
        <v>12670</v>
      </c>
      <c r="F30" s="33">
        <f t="shared" si="1"/>
        <v>27.247162800040169</v>
      </c>
      <c r="G30" s="9">
        <v>7.92499995441176E-4</v>
      </c>
      <c r="H30" s="15">
        <v>9957</v>
      </c>
      <c r="I30" s="16">
        <v>7.0000000000000007E-2</v>
      </c>
      <c r="J30" s="16">
        <v>6.16</v>
      </c>
      <c r="K30" s="3"/>
      <c r="L30" s="3"/>
    </row>
    <row r="31" spans="1:15" x14ac:dyDescent="0.25">
      <c r="A31" t="s">
        <v>31</v>
      </c>
      <c r="B31" s="7">
        <v>13393</v>
      </c>
      <c r="C31" s="33">
        <f t="shared" si="0"/>
        <v>18.315537967595013</v>
      </c>
      <c r="D31" s="9">
        <v>2.861999673768878E-4</v>
      </c>
      <c r="E31" s="7">
        <v>12834</v>
      </c>
      <c r="F31" s="33">
        <f t="shared" si="1"/>
        <v>17.312614259597805</v>
      </c>
      <c r="G31" s="9">
        <v>8.1800000043585896E-4</v>
      </c>
      <c r="H31" s="15">
        <v>10940</v>
      </c>
      <c r="I31" s="16">
        <v>0</v>
      </c>
      <c r="J31" s="16">
        <v>6.77</v>
      </c>
      <c r="K31" s="3"/>
      <c r="L31" s="3"/>
    </row>
    <row r="32" spans="1:15" x14ac:dyDescent="0.25">
      <c r="A32" t="s">
        <v>32</v>
      </c>
      <c r="B32" s="7">
        <v>11274</v>
      </c>
      <c r="C32" s="33">
        <f t="shared" si="0"/>
        <v>20.063863757317719</v>
      </c>
      <c r="D32" s="9">
        <v>3.0149996746331448E-4</v>
      </c>
      <c r="E32" s="7">
        <v>11042</v>
      </c>
      <c r="F32" s="33">
        <f t="shared" si="1"/>
        <v>22.525521526853083</v>
      </c>
      <c r="G32" s="9">
        <v>1.100499997846782E-3</v>
      </c>
      <c r="H32" s="15">
        <v>9012</v>
      </c>
      <c r="I32" s="16">
        <v>0.09</v>
      </c>
      <c r="J32" s="16">
        <v>8.51</v>
      </c>
      <c r="K32" s="3"/>
      <c r="L32" s="3"/>
    </row>
    <row r="33" spans="1:17" x14ac:dyDescent="0.25">
      <c r="A33" t="s">
        <v>33</v>
      </c>
      <c r="B33" s="7">
        <v>11784</v>
      </c>
      <c r="C33" s="33">
        <f t="shared" si="0"/>
        <v>31.80583842498303</v>
      </c>
      <c r="D33" s="9">
        <v>3.3890001941472292E-4</v>
      </c>
      <c r="E33" s="7">
        <v>10890</v>
      </c>
      <c r="F33" s="33">
        <f t="shared" si="1"/>
        <v>35.515181682429073</v>
      </c>
      <c r="G33" s="9">
        <v>1.0814000124810259E-3</v>
      </c>
      <c r="H33" s="15">
        <v>8036</v>
      </c>
      <c r="I33" s="16">
        <v>0</v>
      </c>
      <c r="J33" s="16">
        <v>7.29</v>
      </c>
      <c r="K33" s="3"/>
      <c r="L33" s="3"/>
    </row>
    <row r="34" spans="1:17" x14ac:dyDescent="0.25">
      <c r="A34" t="s">
        <v>34</v>
      </c>
      <c r="B34" s="7">
        <v>9715</v>
      </c>
      <c r="C34" s="33">
        <f t="shared" si="0"/>
        <v>15.347400926402472</v>
      </c>
      <c r="D34" s="9">
        <v>3.3339997753500938E-4</v>
      </c>
      <c r="E34" s="7">
        <v>9788</v>
      </c>
      <c r="F34" s="33">
        <f t="shared" si="1"/>
        <v>19.017509727626457</v>
      </c>
      <c r="G34" s="9">
        <v>1.0970000002998861E-3</v>
      </c>
      <c r="H34" s="15">
        <v>8224</v>
      </c>
      <c r="I34" s="16">
        <v>0</v>
      </c>
      <c r="J34" s="16">
        <v>7.36</v>
      </c>
      <c r="K34" s="3"/>
      <c r="L34" s="3"/>
    </row>
    <row r="35" spans="1:17" x14ac:dyDescent="0.25">
      <c r="A35" t="s">
        <v>35</v>
      </c>
      <c r="B35" s="7">
        <v>27807</v>
      </c>
      <c r="C35" s="33">
        <f t="shared" si="0"/>
        <v>23.465314489157407</v>
      </c>
      <c r="D35" s="9">
        <v>1.021700096316636E-3</v>
      </c>
      <c r="E35" s="7">
        <v>23186</v>
      </c>
      <c r="F35" s="33">
        <f t="shared" si="1"/>
        <v>8.9465275819941734</v>
      </c>
      <c r="G35" s="9">
        <v>8.1903999962378293E-3</v>
      </c>
      <c r="H35" s="15">
        <v>21282</v>
      </c>
      <c r="I35" s="17">
        <v>0.26</v>
      </c>
      <c r="J35" s="17">
        <v>84.88</v>
      </c>
      <c r="K35" s="29">
        <v>21338.6</v>
      </c>
      <c r="L35" s="3"/>
      <c r="N35" s="29"/>
      <c r="O35" s="20"/>
      <c r="P35" s="20"/>
      <c r="Q35" s="29"/>
    </row>
    <row r="36" spans="1:17" x14ac:dyDescent="0.25">
      <c r="A36" t="s">
        <v>36</v>
      </c>
      <c r="B36" s="7">
        <v>30288</v>
      </c>
      <c r="C36" s="33">
        <f t="shared" si="0"/>
        <v>20.59891706286318</v>
      </c>
      <c r="D36" s="9">
        <v>9.9929992575198412E-4</v>
      </c>
      <c r="E36" s="7">
        <v>26147</v>
      </c>
      <c r="F36" s="33">
        <f t="shared" si="1"/>
        <v>8.7238554617655613</v>
      </c>
      <c r="G36" s="9">
        <v>4.5934999943710864E-3</v>
      </c>
      <c r="H36" s="15">
        <v>24049</v>
      </c>
      <c r="I36" s="17">
        <v>0</v>
      </c>
      <c r="J36" s="17">
        <v>67.930000000000007</v>
      </c>
      <c r="K36" s="29">
        <v>24049</v>
      </c>
      <c r="L36" s="3"/>
      <c r="N36" s="29"/>
      <c r="O36" s="20"/>
      <c r="P36" s="20"/>
      <c r="Q36" s="29"/>
    </row>
    <row r="37" spans="1:17" x14ac:dyDescent="0.25">
      <c r="A37" t="s">
        <v>37</v>
      </c>
      <c r="B37" s="7">
        <v>30070</v>
      </c>
      <c r="C37" s="33">
        <f t="shared" si="0"/>
        <v>23.282341203857666</v>
      </c>
      <c r="D37" s="9">
        <v>1.049399957992136E-3</v>
      </c>
      <c r="E37" s="7">
        <v>25166</v>
      </c>
      <c r="F37" s="33">
        <f t="shared" si="1"/>
        <v>9.0901209415232564</v>
      </c>
      <c r="G37" s="9">
        <v>6.8479999899864197E-3</v>
      </c>
      <c r="H37" s="15">
        <v>23069</v>
      </c>
      <c r="I37" s="17">
        <v>1.48</v>
      </c>
      <c r="J37" s="17">
        <v>80.069999999999993</v>
      </c>
      <c r="K37" s="29">
        <v>23416.7</v>
      </c>
      <c r="L37" s="3"/>
      <c r="N37" s="29"/>
      <c r="O37" s="20"/>
      <c r="P37" s="20"/>
      <c r="Q37" s="29"/>
    </row>
    <row r="38" spans="1:17" x14ac:dyDescent="0.25">
      <c r="A38" t="s">
        <v>38</v>
      </c>
      <c r="B38" s="7">
        <v>30969</v>
      </c>
      <c r="C38" s="33">
        <f t="shared" si="0"/>
        <v>20.097516871710418</v>
      </c>
      <c r="D38" s="9">
        <v>9.0770004317164421E-4</v>
      </c>
      <c r="E38" s="7">
        <v>26474</v>
      </c>
      <c r="F38" s="33">
        <f t="shared" si="1"/>
        <v>6.9872701555869874</v>
      </c>
      <c r="G38" s="9">
        <v>3.1890999962342899E-3</v>
      </c>
      <c r="H38" s="15">
        <v>24745</v>
      </c>
      <c r="I38" s="17">
        <v>0</v>
      </c>
      <c r="J38" s="17">
        <v>58.51</v>
      </c>
      <c r="K38" s="29">
        <v>24745</v>
      </c>
      <c r="L38" s="3"/>
      <c r="N38" s="29"/>
      <c r="O38" s="20"/>
      <c r="P38" s="20"/>
      <c r="Q38" s="29"/>
    </row>
    <row r="39" spans="1:17" x14ac:dyDescent="0.25">
      <c r="A39" t="s">
        <v>39</v>
      </c>
      <c r="B39" s="7">
        <v>28689</v>
      </c>
      <c r="C39" s="33">
        <f t="shared" si="0"/>
        <v>21.262504792777719</v>
      </c>
      <c r="D39" s="9">
        <v>9.448999771848321E-4</v>
      </c>
      <c r="E39" s="7">
        <v>25970</v>
      </c>
      <c r="F39" s="33">
        <f t="shared" si="1"/>
        <v>14.967462039045554</v>
      </c>
      <c r="G39" s="9">
        <v>4.7863000072538853E-3</v>
      </c>
      <c r="H39" s="15">
        <v>22589</v>
      </c>
      <c r="I39" s="17">
        <v>0.01</v>
      </c>
      <c r="J39" s="17">
        <v>84.44</v>
      </c>
      <c r="K39" s="29">
        <v>22591.8</v>
      </c>
      <c r="L39" s="3"/>
      <c r="N39" s="29"/>
      <c r="O39" s="20"/>
      <c r="P39" s="20"/>
      <c r="Q39" s="29"/>
    </row>
    <row r="40" spans="1:17" x14ac:dyDescent="0.25">
      <c r="A40" t="s">
        <v>40</v>
      </c>
      <c r="B40" s="7">
        <v>27445</v>
      </c>
      <c r="C40" s="33">
        <f t="shared" si="0"/>
        <v>21.86919293131718</v>
      </c>
      <c r="D40" s="9">
        <v>1.0040999623015521E-3</v>
      </c>
      <c r="E40" s="7">
        <v>31083</v>
      </c>
      <c r="F40" s="33">
        <f t="shared" si="1"/>
        <v>44.956396026675371</v>
      </c>
      <c r="G40" s="9">
        <v>5.8060000010300428E-3</v>
      </c>
      <c r="H40" s="15">
        <v>21443</v>
      </c>
      <c r="I40" s="17">
        <v>0</v>
      </c>
      <c r="J40" s="17">
        <v>82.5</v>
      </c>
      <c r="K40" s="29">
        <v>21443</v>
      </c>
      <c r="L40" s="3"/>
      <c r="N40" s="29"/>
      <c r="O40" s="20"/>
      <c r="P40" s="20"/>
      <c r="Q40" s="29"/>
    </row>
    <row r="41" spans="1:17" x14ac:dyDescent="0.25">
      <c r="A41" t="s">
        <v>41</v>
      </c>
      <c r="B41" s="7">
        <v>27807</v>
      </c>
      <c r="C41" s="33">
        <f t="shared" si="0"/>
        <v>23.465314489157407</v>
      </c>
      <c r="D41" s="9">
        <v>1.0149000445380809E-3</v>
      </c>
      <c r="E41" s="7">
        <v>23186</v>
      </c>
      <c r="F41" s="33">
        <f t="shared" si="1"/>
        <v>8.9465275819941734</v>
      </c>
      <c r="G41" s="9">
        <v>8.6054999992484227E-3</v>
      </c>
      <c r="H41" s="15">
        <v>21282</v>
      </c>
      <c r="I41" s="17">
        <v>0.39</v>
      </c>
      <c r="J41" s="17">
        <v>95.23</v>
      </c>
      <c r="K41" s="29">
        <v>21365.5</v>
      </c>
      <c r="L41" s="3"/>
      <c r="N41" s="29"/>
      <c r="O41" s="20"/>
      <c r="P41" s="20"/>
      <c r="Q41" s="29"/>
    </row>
    <row r="42" spans="1:17" x14ac:dyDescent="0.25">
      <c r="A42" t="s">
        <v>42</v>
      </c>
      <c r="B42" s="7">
        <v>44136</v>
      </c>
      <c r="C42" s="33">
        <f t="shared" si="0"/>
        <v>12.058183795541055</v>
      </c>
      <c r="D42" s="9">
        <v>9.6809992101043463E-4</v>
      </c>
      <c r="E42" s="7">
        <v>43411</v>
      </c>
      <c r="F42" s="33">
        <f t="shared" si="1"/>
        <v>11.843664657082495</v>
      </c>
      <c r="G42" s="9">
        <v>3.7043000047560781E-3</v>
      </c>
      <c r="H42" s="15">
        <v>38814</v>
      </c>
      <c r="I42" s="17">
        <v>0.16</v>
      </c>
      <c r="J42" s="17">
        <v>73.430000000000007</v>
      </c>
      <c r="K42" s="29">
        <v>38877.5</v>
      </c>
      <c r="L42" s="3"/>
      <c r="N42" s="29"/>
      <c r="O42" s="20"/>
      <c r="P42" s="20"/>
      <c r="Q42" s="29"/>
    </row>
    <row r="43" spans="1:17" x14ac:dyDescent="0.25">
      <c r="A43" t="s">
        <v>43</v>
      </c>
      <c r="B43" s="7">
        <v>36649</v>
      </c>
      <c r="C43" s="33">
        <f t="shared" si="0"/>
        <v>20.150618025048434</v>
      </c>
      <c r="D43" s="9">
        <v>1.0399000020697711E-3</v>
      </c>
      <c r="E43" s="7">
        <v>33156</v>
      </c>
      <c r="F43" s="33">
        <f t="shared" si="1"/>
        <v>13.299617277200657</v>
      </c>
      <c r="G43" s="9">
        <v>4.7723000025143847E-3</v>
      </c>
      <c r="H43" s="15">
        <v>29264</v>
      </c>
      <c r="I43" s="17">
        <v>1.05</v>
      </c>
      <c r="J43" s="17">
        <v>92.64</v>
      </c>
      <c r="K43" s="29">
        <v>29578.2</v>
      </c>
      <c r="L43" s="3"/>
      <c r="N43" s="29"/>
      <c r="O43" s="20"/>
      <c r="P43" s="20"/>
      <c r="Q43" s="29"/>
    </row>
    <row r="44" spans="1:17" x14ac:dyDescent="0.25">
      <c r="A44" t="s">
        <v>44</v>
      </c>
      <c r="B44" s="7">
        <v>55382</v>
      </c>
      <c r="C44" s="33">
        <f t="shared" si="0"/>
        <v>9.3712758658047726</v>
      </c>
      <c r="D44" s="9">
        <v>9.3059998471289873E-4</v>
      </c>
      <c r="E44" s="7">
        <v>54878</v>
      </c>
      <c r="F44" s="33">
        <f t="shared" si="1"/>
        <v>9.3361491871214533</v>
      </c>
      <c r="G44" s="9">
        <v>2.5872999976854771E-3</v>
      </c>
      <c r="H44" s="15">
        <v>50192</v>
      </c>
      <c r="I44" s="17">
        <v>0.43</v>
      </c>
      <c r="J44" s="17">
        <v>63.04</v>
      </c>
      <c r="K44" s="29">
        <v>50411</v>
      </c>
      <c r="L44" s="3"/>
      <c r="N44" s="29"/>
      <c r="O44" s="20"/>
      <c r="P44" s="20"/>
      <c r="Q44" s="29"/>
    </row>
    <row r="45" spans="1:17" x14ac:dyDescent="0.25">
      <c r="A45" t="s">
        <v>45</v>
      </c>
      <c r="B45" s="7">
        <v>44855</v>
      </c>
      <c r="C45" s="33">
        <f t="shared" si="0"/>
        <v>20.082488016943483</v>
      </c>
      <c r="D45" s="9">
        <v>9.3560002278536558E-4</v>
      </c>
      <c r="E45" s="7">
        <v>46080</v>
      </c>
      <c r="F45" s="33">
        <f t="shared" si="1"/>
        <v>28.54632186793874</v>
      </c>
      <c r="G45" s="9">
        <v>3.211599992937408E-3</v>
      </c>
      <c r="H45" s="15">
        <v>35847</v>
      </c>
      <c r="I45" s="17">
        <v>1.32</v>
      </c>
      <c r="J45" s="17">
        <v>72.97</v>
      </c>
      <c r="K45" s="29">
        <v>36328.400000000001</v>
      </c>
      <c r="L45" s="3"/>
      <c r="N45" s="11"/>
      <c r="O45" s="31"/>
      <c r="P45" s="1"/>
      <c r="Q45" s="11"/>
    </row>
    <row r="46" spans="1:17" x14ac:dyDescent="0.25">
      <c r="A46" t="s">
        <v>46</v>
      </c>
      <c r="B46" s="7">
        <v>33384</v>
      </c>
      <c r="C46" s="33">
        <f t="shared" si="0"/>
        <v>24.005511622334051</v>
      </c>
      <c r="D46" s="9">
        <v>1.001400058157742E-3</v>
      </c>
      <c r="E46" s="7">
        <v>41047</v>
      </c>
      <c r="F46" s="33">
        <f t="shared" si="1"/>
        <v>61.793456838785964</v>
      </c>
      <c r="G46" s="9">
        <v>6.265999996685423E-3</v>
      </c>
      <c r="H46" s="15">
        <v>25370</v>
      </c>
      <c r="I46" s="17">
        <v>0.87</v>
      </c>
      <c r="J46" s="17">
        <v>90.97</v>
      </c>
      <c r="K46" s="29">
        <v>25594.9</v>
      </c>
      <c r="L46" s="3"/>
      <c r="N46" s="11"/>
      <c r="O46" s="31"/>
      <c r="P46" s="1"/>
      <c r="Q46" s="11"/>
    </row>
    <row r="47" spans="1:17" x14ac:dyDescent="0.25">
      <c r="A47" t="s">
        <v>47</v>
      </c>
      <c r="B47" s="7">
        <v>35859</v>
      </c>
      <c r="C47" s="33">
        <f t="shared" si="0"/>
        <v>17.072422543852312</v>
      </c>
      <c r="D47" s="9">
        <v>4.0251000318676233E-3</v>
      </c>
      <c r="E47" s="7">
        <v>31949</v>
      </c>
      <c r="F47" s="33">
        <f t="shared" si="1"/>
        <v>7.4385445740996063</v>
      </c>
      <c r="G47" s="9">
        <v>5.6665100011741742E-2</v>
      </c>
      <c r="H47" s="11">
        <v>29737</v>
      </c>
      <c r="I47" s="18">
        <v>1.01</v>
      </c>
      <c r="J47" s="19">
        <v>641.03</v>
      </c>
      <c r="K47" s="14">
        <v>30042.799999999999</v>
      </c>
      <c r="L47" s="3"/>
      <c r="N47" s="11"/>
      <c r="O47" s="31"/>
      <c r="P47" s="1"/>
      <c r="Q47" s="11"/>
    </row>
    <row r="48" spans="1:17" x14ac:dyDescent="0.25">
      <c r="A48" t="s">
        <v>48</v>
      </c>
      <c r="B48" s="7">
        <v>36869</v>
      </c>
      <c r="C48" s="33">
        <f t="shared" si="0"/>
        <v>18.866798665545581</v>
      </c>
      <c r="D48" s="9">
        <v>3.751399926841259E-3</v>
      </c>
      <c r="E48" s="7">
        <v>32985</v>
      </c>
      <c r="F48" s="33">
        <f t="shared" si="1"/>
        <v>10.269782368869722</v>
      </c>
      <c r="G48" s="9">
        <v>2.39931000105571E-2</v>
      </c>
      <c r="H48" s="11">
        <v>29913</v>
      </c>
      <c r="I48" s="18">
        <v>0.57999999999999996</v>
      </c>
      <c r="J48" s="19">
        <v>607.22</v>
      </c>
      <c r="K48" s="14">
        <v>30090</v>
      </c>
      <c r="L48" s="3"/>
      <c r="N48" s="11"/>
      <c r="O48" s="31"/>
      <c r="P48" s="1"/>
      <c r="Q48" s="11"/>
    </row>
    <row r="49" spans="1:17" x14ac:dyDescent="0.25">
      <c r="A49" t="s">
        <v>49</v>
      </c>
      <c r="B49" s="7">
        <v>36314</v>
      </c>
      <c r="C49" s="33">
        <f t="shared" si="0"/>
        <v>18.943107341521177</v>
      </c>
      <c r="D49" s="9">
        <v>4.0480999741703272E-3</v>
      </c>
      <c r="E49" s="7">
        <v>33768</v>
      </c>
      <c r="F49" s="33">
        <f t="shared" si="1"/>
        <v>14.720570749108205</v>
      </c>
      <c r="G49" s="9">
        <v>3.8445500002126209E-2</v>
      </c>
      <c r="H49" s="11">
        <v>29435</v>
      </c>
      <c r="I49" s="18">
        <v>1.42</v>
      </c>
      <c r="J49" s="19">
        <v>612.36</v>
      </c>
      <c r="K49" s="14">
        <v>29862.400000000001</v>
      </c>
      <c r="L49" s="3"/>
      <c r="N49" s="11"/>
      <c r="O49" s="31"/>
      <c r="P49" s="1"/>
      <c r="Q49" s="11"/>
    </row>
    <row r="50" spans="1:17" x14ac:dyDescent="0.25">
      <c r="A50" t="s">
        <v>50</v>
      </c>
      <c r="B50" s="7">
        <v>41920</v>
      </c>
      <c r="C50" s="33">
        <f t="shared" si="0"/>
        <v>23.129770992366414</v>
      </c>
      <c r="D50" s="9">
        <v>3.6700000055134301E-3</v>
      </c>
      <c r="E50" s="7">
        <v>35945</v>
      </c>
      <c r="F50" s="33">
        <f t="shared" si="1"/>
        <v>11.547293942403178</v>
      </c>
      <c r="G50" s="9">
        <v>2.0138000007136721E-2</v>
      </c>
      <c r="H50" s="11">
        <v>32224</v>
      </c>
      <c r="I50" s="18">
        <v>0.15</v>
      </c>
      <c r="J50" s="1">
        <v>404.43</v>
      </c>
      <c r="K50" s="14">
        <v>32273.3</v>
      </c>
      <c r="L50" s="3"/>
      <c r="N50" s="11"/>
      <c r="O50" s="31"/>
      <c r="P50" s="1"/>
      <c r="Q50" s="11"/>
    </row>
    <row r="51" spans="1:17" x14ac:dyDescent="0.25">
      <c r="A51" t="s">
        <v>51</v>
      </c>
      <c r="B51" s="7">
        <v>40241</v>
      </c>
      <c r="C51" s="33">
        <f t="shared" si="0"/>
        <v>22.792674138316642</v>
      </c>
      <c r="D51" s="9">
        <v>4.0283999405801296E-3</v>
      </c>
      <c r="E51" s="7">
        <v>36280</v>
      </c>
      <c r="F51" s="33">
        <f t="shared" si="1"/>
        <v>16.772345424699861</v>
      </c>
      <c r="G51" s="9">
        <v>2.4731500001507811E-2</v>
      </c>
      <c r="H51" s="11">
        <v>31069</v>
      </c>
      <c r="I51" s="18">
        <v>0.49</v>
      </c>
      <c r="J51" s="1">
        <v>467.58</v>
      </c>
      <c r="K51" s="14">
        <v>31221.3</v>
      </c>
      <c r="L51" s="3"/>
      <c r="N51" s="11"/>
      <c r="O51" s="31"/>
      <c r="P51" s="1"/>
      <c r="Q51" s="11"/>
    </row>
    <row r="52" spans="1:17" x14ac:dyDescent="0.25">
      <c r="A52" t="s">
        <v>52</v>
      </c>
      <c r="B52" s="7">
        <v>39689</v>
      </c>
      <c r="C52" s="33">
        <f t="shared" si="0"/>
        <v>22.683867066441582</v>
      </c>
      <c r="D52" s="9">
        <v>3.8922000676393509E-3</v>
      </c>
      <c r="E52" s="7">
        <v>35423</v>
      </c>
      <c r="F52" s="33">
        <f t="shared" si="1"/>
        <v>15.437007104216907</v>
      </c>
      <c r="G52" s="9">
        <v>7.0512200007215142E-2</v>
      </c>
      <c r="H52" s="11">
        <v>30686</v>
      </c>
      <c r="I52" s="18">
        <v>0.89</v>
      </c>
      <c r="J52" s="1">
        <v>565.14</v>
      </c>
      <c r="K52" s="14">
        <v>30964</v>
      </c>
      <c r="L52" s="3"/>
      <c r="N52" s="11"/>
      <c r="O52" s="31"/>
      <c r="P52" s="1"/>
      <c r="Q52" s="11"/>
    </row>
    <row r="53" spans="1:17" x14ac:dyDescent="0.25">
      <c r="A53" t="s">
        <v>53</v>
      </c>
      <c r="B53" s="7">
        <v>35859</v>
      </c>
      <c r="C53" s="33">
        <f t="shared" si="0"/>
        <v>16.748933322178534</v>
      </c>
      <c r="D53" s="9">
        <v>4.2039999971166253E-3</v>
      </c>
      <c r="E53" s="7">
        <v>31949</v>
      </c>
      <c r="F53" s="33">
        <f t="shared" si="1"/>
        <v>7.021069909221854</v>
      </c>
      <c r="G53" s="9">
        <v>5.6541500001912937E-2</v>
      </c>
      <c r="H53" s="11">
        <v>29853</v>
      </c>
      <c r="I53" s="18">
        <v>1.07</v>
      </c>
      <c r="J53" s="1">
        <v>656.14</v>
      </c>
      <c r="K53" s="14">
        <v>30176.5</v>
      </c>
      <c r="L53" s="3"/>
      <c r="N53" s="11"/>
      <c r="O53" s="31"/>
      <c r="P53" s="1"/>
      <c r="Q53" s="11"/>
    </row>
    <row r="54" spans="1:17" x14ac:dyDescent="0.25">
      <c r="A54" t="s">
        <v>54</v>
      </c>
      <c r="B54" s="7">
        <v>56780</v>
      </c>
      <c r="C54" s="33">
        <f t="shared" si="0"/>
        <v>8.8746037337090513</v>
      </c>
      <c r="D54" s="9">
        <v>3.6410999018698931E-3</v>
      </c>
      <c r="E54" s="7">
        <v>55973</v>
      </c>
      <c r="F54" s="33">
        <f t="shared" si="1"/>
        <v>8.179200247386019</v>
      </c>
      <c r="G54" s="9">
        <v>2.4327599996468049E-2</v>
      </c>
      <c r="H54" s="11">
        <v>51741</v>
      </c>
      <c r="I54" s="18">
        <v>0.95</v>
      </c>
      <c r="J54" s="1">
        <v>473.42</v>
      </c>
      <c r="K54" s="14">
        <v>52237.3</v>
      </c>
      <c r="L54" s="3"/>
      <c r="N54" s="11"/>
      <c r="O54" s="31"/>
      <c r="P54" s="1"/>
      <c r="Q54" s="11"/>
    </row>
    <row r="55" spans="1:17" x14ac:dyDescent="0.25">
      <c r="A55" t="s">
        <v>55</v>
      </c>
      <c r="B55" s="7">
        <v>51873</v>
      </c>
      <c r="C55" s="33">
        <f t="shared" si="0"/>
        <v>26.343184315539876</v>
      </c>
      <c r="D55" s="9">
        <v>3.9569999789819121E-3</v>
      </c>
      <c r="E55" s="7">
        <v>46004</v>
      </c>
      <c r="F55" s="33">
        <f t="shared" si="1"/>
        <v>20.404103852596315</v>
      </c>
      <c r="G55" s="9">
        <v>3.211159999773372E-2</v>
      </c>
      <c r="H55" s="11">
        <v>38208</v>
      </c>
      <c r="I55" s="18">
        <v>0.68</v>
      </c>
      <c r="J55" s="1">
        <v>574.14</v>
      </c>
      <c r="K55" s="14">
        <v>38471.5</v>
      </c>
      <c r="L55" s="3"/>
    </row>
    <row r="56" spans="1:17" x14ac:dyDescent="0.25">
      <c r="A56" t="s">
        <v>56</v>
      </c>
      <c r="B56" s="7">
        <v>80049</v>
      </c>
      <c r="C56" s="33">
        <f t="shared" si="0"/>
        <v>16.181338929905433</v>
      </c>
      <c r="D56" s="9">
        <v>3.5327000077813859E-3</v>
      </c>
      <c r="E56" s="7">
        <v>74178</v>
      </c>
      <c r="F56" s="33">
        <f t="shared" si="1"/>
        <v>10.555025634911171</v>
      </c>
      <c r="G56" s="9">
        <v>1.584550000552554E-2</v>
      </c>
      <c r="H56" s="11">
        <v>67096</v>
      </c>
      <c r="I56" s="18">
        <v>0.97</v>
      </c>
      <c r="J56" s="1">
        <v>435.56</v>
      </c>
      <c r="K56" s="14">
        <v>67757.600000000006</v>
      </c>
      <c r="L56" s="3"/>
    </row>
    <row r="57" spans="1:17" x14ac:dyDescent="0.25">
      <c r="A57" t="s">
        <v>57</v>
      </c>
      <c r="B57" s="7">
        <v>59664</v>
      </c>
      <c r="C57" s="33">
        <f t="shared" si="0"/>
        <v>19.515956020380798</v>
      </c>
      <c r="D57" s="9">
        <v>3.6375999916344881E-3</v>
      </c>
      <c r="E57" s="7">
        <v>58215</v>
      </c>
      <c r="F57" s="33">
        <f t="shared" si="1"/>
        <v>21.230737192836319</v>
      </c>
      <c r="G57" s="9">
        <v>2.374319999944419E-2</v>
      </c>
      <c r="H57" s="11">
        <v>48020</v>
      </c>
      <c r="I57" s="18">
        <v>1.57</v>
      </c>
      <c r="J57" s="1">
        <v>537.11</v>
      </c>
      <c r="K57" s="14">
        <v>48790.1</v>
      </c>
      <c r="L57" s="3"/>
    </row>
    <row r="58" spans="1:17" x14ac:dyDescent="0.25">
      <c r="A58" t="s">
        <v>58</v>
      </c>
      <c r="B58" s="7">
        <v>47443</v>
      </c>
      <c r="C58" s="33">
        <f t="shared" si="0"/>
        <v>27.924035157979048</v>
      </c>
      <c r="D58" s="9">
        <v>4.1127000004053116E-3</v>
      </c>
      <c r="E58" s="7">
        <v>47028</v>
      </c>
      <c r="F58" s="33">
        <f t="shared" si="1"/>
        <v>37.528878491007454</v>
      </c>
      <c r="G58" s="9">
        <v>3.6377600001287647E-2</v>
      </c>
      <c r="H58" s="11">
        <v>34195</v>
      </c>
      <c r="I58" s="18">
        <v>1.24</v>
      </c>
      <c r="J58" s="1">
        <v>495.08</v>
      </c>
      <c r="K58" s="14">
        <v>34630.400000000001</v>
      </c>
      <c r="L58" s="3"/>
    </row>
    <row r="59" spans="1:17" x14ac:dyDescent="0.25">
      <c r="A59" t="s">
        <v>59</v>
      </c>
      <c r="B59" s="7">
        <v>29158</v>
      </c>
      <c r="C59" s="33">
        <f t="shared" si="0"/>
        <v>23.935112147609576</v>
      </c>
      <c r="D59" s="9">
        <v>1.0120000224560499E-3</v>
      </c>
      <c r="E59" s="7">
        <v>23222</v>
      </c>
      <c r="F59" s="33">
        <f t="shared" si="1"/>
        <v>4.7026466477298339</v>
      </c>
      <c r="G59" s="9">
        <v>8.2766999985324219E-3</v>
      </c>
      <c r="H59" s="15">
        <v>22179</v>
      </c>
      <c r="I59" s="17">
        <v>0.25</v>
      </c>
      <c r="J59" s="20">
        <v>83.07</v>
      </c>
      <c r="K59" s="15">
        <v>22235</v>
      </c>
      <c r="L59" s="3"/>
      <c r="M59" s="29"/>
      <c r="N59" s="20"/>
      <c r="O59" s="20"/>
      <c r="P59" s="29"/>
    </row>
    <row r="60" spans="1:17" x14ac:dyDescent="0.25">
      <c r="A60" t="s">
        <v>60</v>
      </c>
      <c r="B60" s="7">
        <v>30338</v>
      </c>
      <c r="C60" s="33">
        <f t="shared" si="0"/>
        <v>17.967565429494364</v>
      </c>
      <c r="D60" s="9">
        <v>9.4360008370131254E-4</v>
      </c>
      <c r="E60" s="7">
        <v>28579</v>
      </c>
      <c r="F60" s="33">
        <f t="shared" si="1"/>
        <v>14.835054446096354</v>
      </c>
      <c r="G60" s="9">
        <v>3.9657000015722588E-3</v>
      </c>
      <c r="H60" s="15">
        <v>24887</v>
      </c>
      <c r="I60" s="17">
        <v>0.33</v>
      </c>
      <c r="J60" s="21">
        <v>63.46</v>
      </c>
      <c r="K60" s="15">
        <v>24971.3</v>
      </c>
      <c r="L60" s="3"/>
      <c r="M60" s="29"/>
      <c r="N60" s="20"/>
      <c r="O60" s="20"/>
      <c r="P60" s="29"/>
    </row>
    <row r="61" spans="1:17" x14ac:dyDescent="0.25">
      <c r="A61" t="s">
        <v>61</v>
      </c>
      <c r="B61" s="7">
        <v>28710</v>
      </c>
      <c r="C61" s="33">
        <f t="shared" si="0"/>
        <v>22.880529432253571</v>
      </c>
      <c r="D61" s="9">
        <v>9.9189998582005501E-4</v>
      </c>
      <c r="E61" s="7">
        <v>27651</v>
      </c>
      <c r="F61" s="33">
        <f t="shared" si="1"/>
        <v>24.885958177137439</v>
      </c>
      <c r="G61" s="9">
        <v>5.24490000680089E-3</v>
      </c>
      <c r="H61" s="15">
        <v>22141</v>
      </c>
      <c r="I61" s="17">
        <v>0.06</v>
      </c>
      <c r="J61" s="17">
        <v>77.19</v>
      </c>
      <c r="K61" s="29">
        <v>22155.1</v>
      </c>
      <c r="L61" s="3"/>
      <c r="M61" s="29"/>
      <c r="N61" s="20"/>
      <c r="O61" s="20"/>
      <c r="P61" s="29"/>
    </row>
    <row r="62" spans="1:17" x14ac:dyDescent="0.25">
      <c r="A62" t="s">
        <v>62</v>
      </c>
      <c r="B62" s="7">
        <v>31646</v>
      </c>
      <c r="C62" s="33">
        <f t="shared" si="0"/>
        <v>21.652025532452761</v>
      </c>
      <c r="D62" s="9">
        <v>1.017900067381561E-3</v>
      </c>
      <c r="E62" s="7">
        <v>27830</v>
      </c>
      <c r="F62" s="33">
        <f t="shared" si="1"/>
        <v>12.244897959183673</v>
      </c>
      <c r="G62" s="9">
        <v>2.9234000103315338E-3</v>
      </c>
      <c r="H62" s="15">
        <v>24794</v>
      </c>
      <c r="I62" s="17">
        <v>0</v>
      </c>
      <c r="J62" s="17">
        <v>57.91</v>
      </c>
      <c r="K62" s="29">
        <v>24794</v>
      </c>
      <c r="L62" s="3"/>
      <c r="M62" s="29"/>
      <c r="N62" s="20"/>
      <c r="O62" s="20"/>
      <c r="P62" s="29"/>
    </row>
    <row r="63" spans="1:17" x14ac:dyDescent="0.25">
      <c r="A63" t="s">
        <v>63</v>
      </c>
      <c r="B63" s="7">
        <v>27192</v>
      </c>
      <c r="C63" s="33">
        <f t="shared" si="0"/>
        <v>14.831568108267138</v>
      </c>
      <c r="D63" s="9">
        <v>1.0065999813377859E-3</v>
      </c>
      <c r="E63" s="7">
        <v>30004</v>
      </c>
      <c r="F63" s="33">
        <f t="shared" si="1"/>
        <v>29.556543892223324</v>
      </c>
      <c r="G63" s="9">
        <v>3.759800005354919E-3</v>
      </c>
      <c r="H63" s="15">
        <v>23159</v>
      </c>
      <c r="I63" s="17">
        <v>0.06</v>
      </c>
      <c r="J63" s="17">
        <v>73.430000000000007</v>
      </c>
      <c r="K63" s="29">
        <v>23173.1</v>
      </c>
      <c r="L63" s="3"/>
      <c r="M63" s="29"/>
      <c r="N63" s="20"/>
      <c r="O63" s="20"/>
      <c r="P63" s="29"/>
    </row>
    <row r="64" spans="1:17" x14ac:dyDescent="0.25">
      <c r="A64" t="s">
        <v>64</v>
      </c>
      <c r="B64" s="7">
        <v>31565</v>
      </c>
      <c r="C64" s="33">
        <f t="shared" si="0"/>
        <v>29.855853001742439</v>
      </c>
      <c r="D64" s="9">
        <v>1.10809993930161E-3</v>
      </c>
      <c r="E64" s="7">
        <v>27310</v>
      </c>
      <c r="F64" s="33">
        <f t="shared" si="1"/>
        <v>23.345829005013325</v>
      </c>
      <c r="G64" s="9">
        <v>7.1628000005148351E-3</v>
      </c>
      <c r="H64" s="15">
        <v>22141</v>
      </c>
      <c r="I64" s="17">
        <v>0.18</v>
      </c>
      <c r="J64" s="17">
        <v>79.72</v>
      </c>
      <c r="K64" s="29">
        <v>22180</v>
      </c>
      <c r="L64" s="3"/>
      <c r="M64" s="29"/>
      <c r="N64" s="20"/>
      <c r="O64" s="20"/>
      <c r="P64" s="29"/>
    </row>
    <row r="65" spans="1:16" x14ac:dyDescent="0.25">
      <c r="A65" t="s">
        <v>65</v>
      </c>
      <c r="B65" s="7">
        <v>29158</v>
      </c>
      <c r="C65" s="33">
        <f t="shared" si="0"/>
        <v>24.065436586871527</v>
      </c>
      <c r="D65" s="9">
        <v>1.0082001099362969E-3</v>
      </c>
      <c r="E65" s="7">
        <v>23222</v>
      </c>
      <c r="F65" s="33">
        <f t="shared" si="1"/>
        <v>4.8823449708685249</v>
      </c>
      <c r="G65" s="9">
        <v>8.2287999975960702E-3</v>
      </c>
      <c r="H65" s="15">
        <v>22141</v>
      </c>
      <c r="I65" s="17">
        <v>0.22</v>
      </c>
      <c r="J65" s="17">
        <v>83.55</v>
      </c>
      <c r="K65" s="29">
        <v>22189.1</v>
      </c>
      <c r="L65" s="3"/>
      <c r="M65" s="29"/>
      <c r="N65" s="20"/>
      <c r="O65" s="20"/>
      <c r="P65" s="29"/>
    </row>
    <row r="66" spans="1:16" x14ac:dyDescent="0.25">
      <c r="A66" t="s">
        <v>66</v>
      </c>
      <c r="B66" s="7">
        <v>47189</v>
      </c>
      <c r="C66" s="33">
        <f t="shared" si="0"/>
        <v>20.095785034647907</v>
      </c>
      <c r="D66" s="9">
        <v>9.6599990501999855E-4</v>
      </c>
      <c r="E66" s="7">
        <v>42569</v>
      </c>
      <c r="F66" s="33">
        <f t="shared" si="1"/>
        <v>12.897151646952739</v>
      </c>
      <c r="G66" s="9">
        <v>3.6706999962916602E-3</v>
      </c>
      <c r="H66" s="15">
        <v>37706</v>
      </c>
      <c r="I66" s="17">
        <v>0.17</v>
      </c>
      <c r="J66" s="17">
        <v>68.959999999999994</v>
      </c>
      <c r="K66" s="29">
        <v>37770.199999999997</v>
      </c>
      <c r="L66" s="3"/>
      <c r="M66" s="29"/>
      <c r="N66" s="20"/>
      <c r="O66" s="20"/>
      <c r="P66" s="29"/>
    </row>
    <row r="67" spans="1:16" x14ac:dyDescent="0.25">
      <c r="A67" t="s">
        <v>67</v>
      </c>
      <c r="B67" s="7">
        <v>34287</v>
      </c>
      <c r="C67" s="33">
        <f t="shared" si="0"/>
        <v>16.851868054947939</v>
      </c>
      <c r="D67" s="9">
        <v>9.9119998048990965E-4</v>
      </c>
      <c r="E67" s="7">
        <v>32758</v>
      </c>
      <c r="F67" s="33">
        <f t="shared" si="1"/>
        <v>14.904065382861553</v>
      </c>
      <c r="G67" s="9">
        <v>4.8959999985527247E-3</v>
      </c>
      <c r="H67" s="15">
        <v>28509</v>
      </c>
      <c r="I67" s="17">
        <v>0.5</v>
      </c>
      <c r="J67" s="17">
        <v>85.82</v>
      </c>
      <c r="K67" s="29">
        <v>28652.6</v>
      </c>
      <c r="L67" s="3"/>
      <c r="M67" s="29"/>
      <c r="N67" s="20"/>
      <c r="O67" s="20"/>
      <c r="P67" s="29"/>
    </row>
    <row r="68" spans="1:16" x14ac:dyDescent="0.25">
      <c r="A68" t="s">
        <v>68</v>
      </c>
      <c r="B68" s="7">
        <v>58238</v>
      </c>
      <c r="C68" s="33">
        <f t="shared" ref="C68:C131" si="2">((B68 -H68)/B68 * 100)</f>
        <v>12.804354545142346</v>
      </c>
      <c r="D68" s="9">
        <v>9.2700007371604443E-4</v>
      </c>
      <c r="E68" s="7">
        <v>55240</v>
      </c>
      <c r="F68" s="33">
        <f t="shared" ref="F68:F131" si="3">((E68 - H68)/H68 * 100)</f>
        <v>8.7808432287666651</v>
      </c>
      <c r="G68" s="9">
        <v>2.554000006057322E-3</v>
      </c>
      <c r="H68" s="15">
        <v>50781</v>
      </c>
      <c r="I68" s="17">
        <v>0.16</v>
      </c>
      <c r="J68" s="17">
        <v>57.83</v>
      </c>
      <c r="K68" s="29">
        <v>50863.4</v>
      </c>
      <c r="L68" s="3"/>
      <c r="M68" s="29"/>
      <c r="N68" s="20"/>
      <c r="O68" s="20"/>
      <c r="P68" s="29"/>
    </row>
    <row r="69" spans="1:16" x14ac:dyDescent="0.25">
      <c r="A69" t="s">
        <v>69</v>
      </c>
      <c r="B69" s="7">
        <v>42425</v>
      </c>
      <c r="C69" s="33">
        <f t="shared" si="2"/>
        <v>17.008839127872715</v>
      </c>
      <c r="D69" s="9">
        <v>1.034599961712956E-3</v>
      </c>
      <c r="E69" s="7">
        <v>41218</v>
      </c>
      <c r="F69" s="33">
        <f t="shared" si="3"/>
        <v>17.06665909284558</v>
      </c>
      <c r="G69" s="9">
        <v>3.6722999939229339E-3</v>
      </c>
      <c r="H69" s="15">
        <v>35209</v>
      </c>
      <c r="I69" s="17">
        <v>1.06</v>
      </c>
      <c r="J69" s="17">
        <v>81.010000000000005</v>
      </c>
      <c r="K69" s="29">
        <v>35589.300000000003</v>
      </c>
      <c r="L69" s="3"/>
      <c r="M69" s="29"/>
      <c r="N69" s="20"/>
      <c r="O69" s="20"/>
      <c r="P69" s="29"/>
    </row>
    <row r="70" spans="1:16" x14ac:dyDescent="0.25">
      <c r="A70" t="s">
        <v>70</v>
      </c>
      <c r="B70" s="7">
        <v>38294</v>
      </c>
      <c r="C70" s="33">
        <f t="shared" si="2"/>
        <v>31.924061210633521</v>
      </c>
      <c r="D70" s="9">
        <v>1.0003000497817991E-3</v>
      </c>
      <c r="E70" s="7">
        <v>33866</v>
      </c>
      <c r="F70" s="33">
        <f t="shared" si="3"/>
        <v>29.909087421842035</v>
      </c>
      <c r="G70" s="9">
        <v>5.6372000108240172E-3</v>
      </c>
      <c r="H70" s="15">
        <v>26069</v>
      </c>
      <c r="I70" s="17">
        <v>0.51</v>
      </c>
      <c r="J70" s="17">
        <v>85.42</v>
      </c>
      <c r="K70" s="29">
        <v>26205</v>
      </c>
      <c r="L70" s="3"/>
      <c r="M70" s="29"/>
      <c r="N70" s="20"/>
      <c r="O70" s="20"/>
      <c r="P70" s="29"/>
    </row>
    <row r="71" spans="1:16" x14ac:dyDescent="0.25">
      <c r="A71" t="s">
        <v>71</v>
      </c>
      <c r="B71" s="7">
        <v>36980</v>
      </c>
      <c r="C71" s="33">
        <f t="shared" si="2"/>
        <v>19.442942130881558</v>
      </c>
      <c r="D71" s="9">
        <v>3.9096999680623412E-3</v>
      </c>
      <c r="E71" s="7">
        <v>31522</v>
      </c>
      <c r="F71" s="33">
        <f t="shared" si="3"/>
        <v>5.8140315542128231</v>
      </c>
      <c r="G71" s="9">
        <v>5.6542700011050329E-2</v>
      </c>
      <c r="H71" s="11">
        <v>29790</v>
      </c>
      <c r="I71" s="18">
        <v>0.91</v>
      </c>
      <c r="J71" s="19">
        <v>628.29999999999995</v>
      </c>
      <c r="K71" s="14">
        <v>30064.7</v>
      </c>
      <c r="L71" s="3"/>
      <c r="M71" s="11"/>
      <c r="N71" s="31"/>
      <c r="O71" s="1"/>
      <c r="P71" s="11"/>
    </row>
    <row r="72" spans="1:16" x14ac:dyDescent="0.25">
      <c r="A72" t="s">
        <v>72</v>
      </c>
      <c r="B72" s="7">
        <v>41088</v>
      </c>
      <c r="C72" s="33">
        <f t="shared" si="2"/>
        <v>24.57895249221184</v>
      </c>
      <c r="D72" s="9">
        <v>3.6570000229403381E-3</v>
      </c>
      <c r="E72" s="7">
        <v>35221</v>
      </c>
      <c r="F72" s="33">
        <f t="shared" si="3"/>
        <v>13.656458743425087</v>
      </c>
      <c r="G72" s="9">
        <v>2.920150000136346E-2</v>
      </c>
      <c r="H72" s="11">
        <v>30989</v>
      </c>
      <c r="I72" s="18">
        <v>0.91</v>
      </c>
      <c r="J72" s="19">
        <v>565.49</v>
      </c>
      <c r="K72" s="14">
        <v>31276.1</v>
      </c>
      <c r="L72" s="3"/>
      <c r="M72" s="11"/>
      <c r="N72" s="31"/>
      <c r="O72" s="1"/>
      <c r="P72" s="11"/>
    </row>
    <row r="73" spans="1:16" x14ac:dyDescent="0.25">
      <c r="A73" t="s">
        <v>73</v>
      </c>
      <c r="B73" s="7">
        <v>37093</v>
      </c>
      <c r="C73" s="33">
        <f t="shared" si="2"/>
        <v>17.890167956218153</v>
      </c>
      <c r="D73" s="9">
        <v>3.905100049450994E-3</v>
      </c>
      <c r="E73" s="7">
        <v>35979</v>
      </c>
      <c r="F73" s="33">
        <f t="shared" si="3"/>
        <v>18.130479036017995</v>
      </c>
      <c r="G73" s="9">
        <v>3.4963999991305172E-2</v>
      </c>
      <c r="H73" s="11">
        <v>30457</v>
      </c>
      <c r="I73" s="18">
        <v>1.21</v>
      </c>
      <c r="J73" s="19">
        <v>539.30999999999995</v>
      </c>
      <c r="K73" s="14">
        <v>30830.7</v>
      </c>
      <c r="L73" s="3"/>
      <c r="M73" s="11"/>
      <c r="N73" s="31"/>
      <c r="O73" s="1"/>
      <c r="P73" s="11"/>
    </row>
    <row r="74" spans="1:16" x14ac:dyDescent="0.25">
      <c r="A74" t="s">
        <v>74</v>
      </c>
      <c r="B74" s="7">
        <v>46520</v>
      </c>
      <c r="C74" s="33">
        <f t="shared" si="2"/>
        <v>18.51031814273431</v>
      </c>
      <c r="D74" s="9">
        <v>3.5940000088885431E-3</v>
      </c>
      <c r="E74" s="7">
        <v>41597</v>
      </c>
      <c r="F74" s="33">
        <f t="shared" si="3"/>
        <v>9.7285605001450843</v>
      </c>
      <c r="G74" s="9">
        <v>1.9890700001269579E-2</v>
      </c>
      <c r="H74" s="11">
        <v>37909</v>
      </c>
      <c r="I74" s="18">
        <v>0.17</v>
      </c>
      <c r="J74" s="22">
        <v>401.54</v>
      </c>
      <c r="K74" s="14">
        <v>37973.199999999997</v>
      </c>
      <c r="L74" s="3"/>
      <c r="M74" s="11"/>
      <c r="N74" s="31"/>
      <c r="O74" s="1"/>
      <c r="P74" s="11"/>
    </row>
    <row r="75" spans="1:16" x14ac:dyDescent="0.25">
      <c r="A75" t="s">
        <v>75</v>
      </c>
      <c r="B75" s="7">
        <v>42343</v>
      </c>
      <c r="C75" s="33">
        <f t="shared" si="2"/>
        <v>21.413220603169357</v>
      </c>
      <c r="D75" s="9">
        <v>3.6528999917209148E-3</v>
      </c>
      <c r="E75" s="7">
        <v>37847</v>
      </c>
      <c r="F75" s="33">
        <f t="shared" si="3"/>
        <v>13.736626998437313</v>
      </c>
      <c r="G75" s="9">
        <v>2.2995199993602E-2</v>
      </c>
      <c r="H75" s="11">
        <v>33276</v>
      </c>
      <c r="I75" s="18">
        <v>0.48</v>
      </c>
      <c r="J75" s="1">
        <v>540.77</v>
      </c>
      <c r="K75" s="14">
        <v>33438.300000000003</v>
      </c>
      <c r="L75" s="3"/>
      <c r="M75" s="11"/>
      <c r="N75" s="31"/>
      <c r="O75" s="1"/>
      <c r="P75" s="11"/>
    </row>
    <row r="76" spans="1:16" x14ac:dyDescent="0.25">
      <c r="A76" t="s">
        <v>76</v>
      </c>
      <c r="B76" s="7">
        <v>38451</v>
      </c>
      <c r="C76" s="33">
        <f t="shared" si="2"/>
        <v>21.27642974174924</v>
      </c>
      <c r="D76" s="9">
        <v>3.8740000454708929E-3</v>
      </c>
      <c r="E76" s="7">
        <v>36056</v>
      </c>
      <c r="F76" s="33">
        <f t="shared" si="3"/>
        <v>19.114634952097788</v>
      </c>
      <c r="G76" s="9">
        <v>3.2063599996035919E-2</v>
      </c>
      <c r="H76" s="11">
        <v>30270</v>
      </c>
      <c r="I76" s="18">
        <v>0.73</v>
      </c>
      <c r="J76" s="1">
        <v>565.99</v>
      </c>
      <c r="K76" s="14">
        <v>30492</v>
      </c>
      <c r="L76" s="3"/>
      <c r="M76" s="11"/>
      <c r="N76" s="31"/>
      <c r="O76" s="1"/>
      <c r="P76" s="11"/>
    </row>
    <row r="77" spans="1:16" x14ac:dyDescent="0.25">
      <c r="A77" t="s">
        <v>77</v>
      </c>
      <c r="B77" s="7">
        <v>36980</v>
      </c>
      <c r="C77" s="33">
        <f t="shared" si="2"/>
        <v>19.283396430502975</v>
      </c>
      <c r="D77" s="9">
        <v>3.9283999940380454E-3</v>
      </c>
      <c r="E77" s="7">
        <v>31522</v>
      </c>
      <c r="F77" s="33">
        <f t="shared" si="3"/>
        <v>5.6048778853562933</v>
      </c>
      <c r="G77" s="9">
        <v>5.4782000006525777E-2</v>
      </c>
      <c r="H77" s="11">
        <v>29849</v>
      </c>
      <c r="I77" s="18">
        <v>0.99</v>
      </c>
      <c r="J77" s="1">
        <v>697.39</v>
      </c>
      <c r="K77" s="14">
        <v>30149.7</v>
      </c>
      <c r="L77" s="3"/>
      <c r="M77" s="11"/>
      <c r="N77" s="31"/>
      <c r="O77" s="1"/>
      <c r="P77" s="11"/>
    </row>
    <row r="78" spans="1:16" x14ac:dyDescent="0.25">
      <c r="A78" t="s">
        <v>78</v>
      </c>
      <c r="B78" s="7">
        <v>65985</v>
      </c>
      <c r="C78" s="33">
        <f t="shared" si="2"/>
        <v>18.558763355308024</v>
      </c>
      <c r="D78" s="9">
        <v>3.6468000616878271E-3</v>
      </c>
      <c r="E78" s="7">
        <v>60317</v>
      </c>
      <c r="F78" s="33">
        <f t="shared" si="3"/>
        <v>12.240644597033812</v>
      </c>
      <c r="G78" s="9">
        <v>2.4024300000746731E-2</v>
      </c>
      <c r="H78" s="11">
        <v>53739</v>
      </c>
      <c r="I78" s="18">
        <v>0.72</v>
      </c>
      <c r="J78" s="1">
        <v>525.52</v>
      </c>
      <c r="K78" s="14">
        <v>54131.3</v>
      </c>
      <c r="L78" s="3"/>
      <c r="M78" s="11"/>
      <c r="N78" s="31"/>
      <c r="O78" s="1"/>
      <c r="P78" s="11"/>
    </row>
    <row r="79" spans="1:16" x14ac:dyDescent="0.25">
      <c r="A79" t="s">
        <v>79</v>
      </c>
      <c r="B79" s="7">
        <v>49045</v>
      </c>
      <c r="C79" s="33">
        <f t="shared" si="2"/>
        <v>20.597410541339585</v>
      </c>
      <c r="D79" s="9">
        <v>3.8342999760061498E-3</v>
      </c>
      <c r="E79" s="7">
        <v>45612</v>
      </c>
      <c r="F79" s="33">
        <f t="shared" si="3"/>
        <v>17.125028888375319</v>
      </c>
      <c r="G79" s="9">
        <v>3.1803100006072782E-2</v>
      </c>
      <c r="H79" s="11">
        <v>38943</v>
      </c>
      <c r="I79" s="18">
        <v>0.63</v>
      </c>
      <c r="J79" s="1">
        <v>606.27</v>
      </c>
      <c r="K79" s="14">
        <v>39190.5</v>
      </c>
      <c r="L79" s="3"/>
    </row>
    <row r="80" spans="1:16" x14ac:dyDescent="0.25">
      <c r="A80" t="s">
        <v>80</v>
      </c>
      <c r="B80" s="7">
        <v>84881</v>
      </c>
      <c r="C80" s="33">
        <f t="shared" si="2"/>
        <v>14.249360869923775</v>
      </c>
      <c r="D80" s="9">
        <v>3.525700070895255E-3</v>
      </c>
      <c r="E80" s="7">
        <v>80034</v>
      </c>
      <c r="F80" s="33">
        <f t="shared" si="3"/>
        <v>9.9579589481493684</v>
      </c>
      <c r="G80" s="9">
        <v>1.5626599997631271E-2</v>
      </c>
      <c r="H80" s="11">
        <v>72786</v>
      </c>
      <c r="I80" s="18">
        <v>0.31</v>
      </c>
      <c r="J80" s="1">
        <v>469.76</v>
      </c>
      <c r="K80" s="14">
        <v>73011.3</v>
      </c>
      <c r="L80" s="3"/>
    </row>
    <row r="81" spans="1:16" x14ac:dyDescent="0.25">
      <c r="A81" t="s">
        <v>81</v>
      </c>
      <c r="B81" s="7">
        <v>58599</v>
      </c>
      <c r="C81" s="33">
        <f t="shared" si="2"/>
        <v>14.230618269936347</v>
      </c>
      <c r="D81" s="9">
        <v>3.6467999452725048E-3</v>
      </c>
      <c r="E81" s="7">
        <v>57580</v>
      </c>
      <c r="F81" s="33">
        <f t="shared" si="3"/>
        <v>14.564265817747712</v>
      </c>
      <c r="G81" s="9">
        <v>2.5406900007510561E-2</v>
      </c>
      <c r="H81" s="11">
        <v>50260</v>
      </c>
      <c r="I81" s="18">
        <v>1.1000000000000001</v>
      </c>
      <c r="J81" s="1">
        <v>525.85</v>
      </c>
      <c r="K81" s="14">
        <v>50821.8</v>
      </c>
      <c r="L81" s="3"/>
    </row>
    <row r="82" spans="1:16" x14ac:dyDescent="0.25">
      <c r="A82" t="s">
        <v>82</v>
      </c>
      <c r="B82" s="7">
        <v>50362</v>
      </c>
      <c r="C82" s="33">
        <f t="shared" si="2"/>
        <v>26.678845161034115</v>
      </c>
      <c r="D82" s="9">
        <v>3.971800091676414E-3</v>
      </c>
      <c r="E82" s="7">
        <v>44611</v>
      </c>
      <c r="F82" s="33">
        <f t="shared" si="3"/>
        <v>20.811894058387047</v>
      </c>
      <c r="G82" s="9">
        <v>3.7484599990420968E-2</v>
      </c>
      <c r="H82" s="11">
        <v>36926</v>
      </c>
      <c r="I82" s="18">
        <v>0.59</v>
      </c>
      <c r="J82" s="1">
        <v>652.27</v>
      </c>
      <c r="K82" s="14">
        <v>37145.9</v>
      </c>
      <c r="L82" s="3"/>
    </row>
    <row r="83" spans="1:16" x14ac:dyDescent="0.25">
      <c r="A83" t="s">
        <v>83</v>
      </c>
      <c r="B83" s="7">
        <v>26227</v>
      </c>
      <c r="C83" s="33">
        <f t="shared" si="2"/>
        <v>20.886872307164374</v>
      </c>
      <c r="D83" s="9">
        <v>1.0149000445380809E-3</v>
      </c>
      <c r="E83" s="7">
        <v>21699</v>
      </c>
      <c r="F83" s="33">
        <f t="shared" si="3"/>
        <v>4.5785339052484453</v>
      </c>
      <c r="G83" s="9">
        <v>8.2089999923482537E-3</v>
      </c>
      <c r="H83" s="15">
        <v>20749</v>
      </c>
      <c r="I83" s="17">
        <v>0.18</v>
      </c>
      <c r="J83" s="20">
        <v>94.88</v>
      </c>
      <c r="K83" s="15">
        <v>20786.900000000001</v>
      </c>
      <c r="L83" s="3"/>
      <c r="M83" s="29"/>
      <c r="N83" s="20"/>
      <c r="O83" s="20"/>
      <c r="P83" s="29"/>
    </row>
    <row r="84" spans="1:16" x14ac:dyDescent="0.25">
      <c r="A84" t="s">
        <v>84</v>
      </c>
      <c r="B84" s="7">
        <v>26827</v>
      </c>
      <c r="C84" s="33">
        <f t="shared" si="2"/>
        <v>20.453274685950721</v>
      </c>
      <c r="D84" s="9">
        <v>9.8629994317889214E-4</v>
      </c>
      <c r="E84" s="7">
        <v>24718</v>
      </c>
      <c r="F84" s="33">
        <f t="shared" si="3"/>
        <v>15.829428303655108</v>
      </c>
      <c r="G84" s="9">
        <v>3.5926999989897008E-3</v>
      </c>
      <c r="H84" s="15">
        <v>21340</v>
      </c>
      <c r="I84" s="17">
        <v>0.47</v>
      </c>
      <c r="J84" s="17">
        <v>57.97</v>
      </c>
      <c r="K84" s="29">
        <v>21440.6</v>
      </c>
      <c r="L84" s="3"/>
      <c r="M84" s="29"/>
      <c r="N84" s="20"/>
      <c r="O84" s="20"/>
      <c r="P84" s="29"/>
    </row>
    <row r="85" spans="1:16" x14ac:dyDescent="0.25">
      <c r="A85" t="s">
        <v>85</v>
      </c>
      <c r="B85" s="7">
        <v>25773</v>
      </c>
      <c r="C85" s="33">
        <f t="shared" si="2"/>
        <v>18.868583401233849</v>
      </c>
      <c r="D85" s="9">
        <v>1.04129989631474E-3</v>
      </c>
      <c r="E85" s="7">
        <v>25815</v>
      </c>
      <c r="F85" s="33">
        <f t="shared" si="3"/>
        <v>23.45767575322812</v>
      </c>
      <c r="G85" s="9">
        <v>5.3117999923415482E-3</v>
      </c>
      <c r="H85" s="15">
        <v>20910</v>
      </c>
      <c r="I85" s="17">
        <v>0</v>
      </c>
      <c r="J85" s="17">
        <v>92.46</v>
      </c>
      <c r="K85" s="29">
        <v>20910</v>
      </c>
      <c r="L85" s="3"/>
      <c r="M85" s="29"/>
      <c r="N85" s="20"/>
      <c r="O85" s="20"/>
      <c r="P85" s="29"/>
    </row>
    <row r="86" spans="1:16" x14ac:dyDescent="0.25">
      <c r="A86" t="s">
        <v>86</v>
      </c>
      <c r="B86" s="7">
        <v>28867</v>
      </c>
      <c r="C86" s="33">
        <f t="shared" si="2"/>
        <v>16.72151591783005</v>
      </c>
      <c r="D86" s="9">
        <v>9.3860004562884569E-4</v>
      </c>
      <c r="E86" s="7">
        <v>27444</v>
      </c>
      <c r="F86" s="33">
        <f t="shared" si="3"/>
        <v>14.159733777038269</v>
      </c>
      <c r="G86" s="9">
        <v>3.628799997386523E-3</v>
      </c>
      <c r="H86" s="15">
        <v>24040</v>
      </c>
      <c r="I86" s="17">
        <v>0</v>
      </c>
      <c r="J86" s="17">
        <v>58.26</v>
      </c>
      <c r="K86" s="29">
        <v>24040</v>
      </c>
      <c r="L86" s="3"/>
      <c r="M86" s="29"/>
      <c r="N86" s="20"/>
      <c r="O86" s="20"/>
      <c r="P86" s="29"/>
    </row>
    <row r="87" spans="1:16" x14ac:dyDescent="0.25">
      <c r="A87" t="s">
        <v>87</v>
      </c>
      <c r="B87" s="7">
        <v>27094</v>
      </c>
      <c r="C87" s="33">
        <f t="shared" si="2"/>
        <v>15.748874289510592</v>
      </c>
      <c r="D87" s="9">
        <v>9.5780007541179657E-4</v>
      </c>
      <c r="E87" s="7">
        <v>26209</v>
      </c>
      <c r="F87" s="33">
        <f t="shared" si="3"/>
        <v>14.815788320848119</v>
      </c>
      <c r="G87" s="9">
        <v>4.9249000003328547E-3</v>
      </c>
      <c r="H87" s="15">
        <v>22827</v>
      </c>
      <c r="I87" s="17">
        <v>0</v>
      </c>
      <c r="J87" s="17">
        <v>71.760000000000005</v>
      </c>
      <c r="K87" s="29">
        <v>22827</v>
      </c>
      <c r="L87" s="32"/>
      <c r="M87" s="29"/>
      <c r="N87" s="20"/>
      <c r="O87" s="20"/>
      <c r="P87" s="29"/>
    </row>
    <row r="88" spans="1:16" x14ac:dyDescent="0.25">
      <c r="A88" t="s">
        <v>88</v>
      </c>
      <c r="B88" s="7">
        <v>27695</v>
      </c>
      <c r="C88" s="33">
        <f t="shared" si="2"/>
        <v>23.170247337064449</v>
      </c>
      <c r="D88" s="9">
        <v>1.009700004942715E-3</v>
      </c>
      <c r="E88" s="7">
        <v>26664</v>
      </c>
      <c r="F88" s="33">
        <f t="shared" si="3"/>
        <v>25.312529373061377</v>
      </c>
      <c r="G88" s="9">
        <v>6.928900009370409E-3</v>
      </c>
      <c r="H88" s="15">
        <v>21278</v>
      </c>
      <c r="I88" s="17">
        <v>0.31</v>
      </c>
      <c r="J88" s="17">
        <v>91.31</v>
      </c>
      <c r="K88" s="29">
        <v>21344.9</v>
      </c>
      <c r="L88" s="32"/>
      <c r="M88" s="29"/>
      <c r="N88" s="20"/>
      <c r="O88" s="20"/>
      <c r="P88" s="29"/>
    </row>
    <row r="89" spans="1:16" x14ac:dyDescent="0.25">
      <c r="A89" t="s">
        <v>89</v>
      </c>
      <c r="B89" s="7">
        <v>26227</v>
      </c>
      <c r="C89" s="33">
        <f t="shared" si="2"/>
        <v>20.886872307164374</v>
      </c>
      <c r="D89" s="9">
        <v>1.281300093978643E-3</v>
      </c>
      <c r="E89" s="7">
        <v>21699</v>
      </c>
      <c r="F89" s="33">
        <f t="shared" si="3"/>
        <v>4.5785339052484453</v>
      </c>
      <c r="G89" s="9">
        <v>8.7300000013783574E-3</v>
      </c>
      <c r="H89" s="15">
        <v>20749</v>
      </c>
      <c r="I89" s="17">
        <v>0.37</v>
      </c>
      <c r="J89" s="17">
        <v>94.55</v>
      </c>
      <c r="K89" s="29">
        <v>20826.099999999999</v>
      </c>
      <c r="L89" s="32"/>
      <c r="M89" s="29"/>
      <c r="N89" s="20"/>
      <c r="O89" s="20"/>
      <c r="P89" s="29"/>
    </row>
    <row r="90" spans="1:16" x14ac:dyDescent="0.25">
      <c r="A90" t="s">
        <v>90</v>
      </c>
      <c r="B90" s="7">
        <v>46404</v>
      </c>
      <c r="C90" s="33">
        <f t="shared" si="2"/>
        <v>18.211792086889062</v>
      </c>
      <c r="D90" s="9">
        <v>1.1411000741645689E-3</v>
      </c>
      <c r="E90" s="7">
        <v>41632</v>
      </c>
      <c r="F90" s="33">
        <f t="shared" si="3"/>
        <v>9.6935683608673884</v>
      </c>
      <c r="G90" s="9">
        <v>3.7280999968061219E-3</v>
      </c>
      <c r="H90" s="15">
        <v>37953</v>
      </c>
      <c r="I90" s="17">
        <v>0.34</v>
      </c>
      <c r="J90" s="17">
        <v>86.17</v>
      </c>
      <c r="K90" s="29">
        <v>38083</v>
      </c>
      <c r="L90" s="32"/>
      <c r="M90" s="29"/>
      <c r="N90" s="20"/>
      <c r="O90" s="20"/>
      <c r="P90" s="29"/>
    </row>
    <row r="91" spans="1:16" x14ac:dyDescent="0.25">
      <c r="A91" t="s">
        <v>91</v>
      </c>
      <c r="B91" s="7">
        <v>33751</v>
      </c>
      <c r="C91" s="33">
        <f t="shared" si="2"/>
        <v>16.654321353441379</v>
      </c>
      <c r="D91" s="9">
        <v>1.1191000230610371E-3</v>
      </c>
      <c r="E91" s="7">
        <v>35016</v>
      </c>
      <c r="F91" s="33">
        <f t="shared" si="3"/>
        <v>24.479203697120511</v>
      </c>
      <c r="G91" s="9">
        <v>4.9172999861184508E-3</v>
      </c>
      <c r="H91" s="15">
        <v>28130</v>
      </c>
      <c r="I91" s="17">
        <v>0.61</v>
      </c>
      <c r="J91" s="17">
        <v>86.83</v>
      </c>
      <c r="K91" s="29">
        <v>28304.5</v>
      </c>
      <c r="L91" s="32"/>
      <c r="M91" s="29"/>
      <c r="N91" s="20"/>
      <c r="O91" s="20"/>
      <c r="P91" s="29"/>
    </row>
    <row r="92" spans="1:16" x14ac:dyDescent="0.25">
      <c r="A92" t="s">
        <v>92</v>
      </c>
      <c r="B92" s="7">
        <v>59251</v>
      </c>
      <c r="C92" s="33">
        <f t="shared" si="2"/>
        <v>15.469781100740915</v>
      </c>
      <c r="D92" s="9">
        <v>1.087300013750792E-3</v>
      </c>
      <c r="E92" s="7">
        <v>53655</v>
      </c>
      <c r="F92" s="33">
        <f t="shared" si="3"/>
        <v>7.1278825995807118</v>
      </c>
      <c r="G92" s="9">
        <v>2.6534000062383711E-3</v>
      </c>
      <c r="H92" s="15">
        <v>50085</v>
      </c>
      <c r="I92" s="17">
        <v>0.03</v>
      </c>
      <c r="J92" s="17">
        <v>69.09</v>
      </c>
      <c r="K92" s="29">
        <v>50099.9</v>
      </c>
      <c r="L92" s="32"/>
      <c r="M92" s="29"/>
      <c r="N92" s="20"/>
      <c r="O92" s="20"/>
      <c r="P92" s="29"/>
    </row>
    <row r="93" spans="1:16" x14ac:dyDescent="0.25">
      <c r="A93" t="s">
        <v>93</v>
      </c>
      <c r="B93" s="7">
        <v>42800</v>
      </c>
      <c r="C93" s="33">
        <f t="shared" si="2"/>
        <v>21.509345794392523</v>
      </c>
      <c r="D93" s="9">
        <v>9.7209995146840811E-4</v>
      </c>
      <c r="E93" s="7">
        <v>45120</v>
      </c>
      <c r="F93" s="33">
        <f t="shared" si="3"/>
        <v>34.309698160385778</v>
      </c>
      <c r="G93" s="9">
        <v>3.0494999955408279E-3</v>
      </c>
      <c r="H93" s="15">
        <v>33594</v>
      </c>
      <c r="I93" s="17">
        <v>2.2200000000000002</v>
      </c>
      <c r="J93" s="17">
        <v>73.73</v>
      </c>
      <c r="K93" s="29">
        <v>34365.1</v>
      </c>
      <c r="L93" s="3"/>
      <c r="M93" s="29"/>
      <c r="N93" s="20"/>
      <c r="O93" s="20"/>
      <c r="P93" s="29"/>
    </row>
    <row r="94" spans="1:16" x14ac:dyDescent="0.25">
      <c r="A94" t="s">
        <v>94</v>
      </c>
      <c r="B94" s="7">
        <v>34817</v>
      </c>
      <c r="C94" s="33">
        <f t="shared" si="2"/>
        <v>26.880546859292874</v>
      </c>
      <c r="D94" s="9">
        <v>1.066400087438524E-3</v>
      </c>
      <c r="E94" s="7">
        <v>37373</v>
      </c>
      <c r="F94" s="33">
        <f t="shared" si="3"/>
        <v>46.802576793149505</v>
      </c>
      <c r="G94" s="9">
        <v>5.9172999899601564E-3</v>
      </c>
      <c r="H94" s="15">
        <v>25458</v>
      </c>
      <c r="I94" s="17">
        <v>0.5</v>
      </c>
      <c r="J94" s="17">
        <v>94.83</v>
      </c>
      <c r="K94" s="29">
        <v>25587.599999999999</v>
      </c>
      <c r="L94" s="3"/>
      <c r="M94" s="29"/>
      <c r="N94" s="20"/>
      <c r="O94" s="20"/>
      <c r="P94" s="29"/>
    </row>
    <row r="95" spans="1:16" x14ac:dyDescent="0.25">
      <c r="A95" t="s">
        <v>95</v>
      </c>
      <c r="B95" s="7">
        <v>26947</v>
      </c>
      <c r="C95" s="33">
        <f t="shared" si="2"/>
        <v>20.978216499053698</v>
      </c>
      <c r="D95" s="9">
        <v>1.0108000133186581E-3</v>
      </c>
      <c r="E95" s="7">
        <v>22034</v>
      </c>
      <c r="F95" s="33">
        <f t="shared" si="3"/>
        <v>3.4751573213111673</v>
      </c>
      <c r="G95" s="9">
        <v>8.3159999921917915E-3</v>
      </c>
      <c r="H95" s="15">
        <v>21294</v>
      </c>
      <c r="I95" s="17">
        <v>0.02</v>
      </c>
      <c r="J95" s="17">
        <v>93.39</v>
      </c>
      <c r="K95" s="29">
        <v>21298.5</v>
      </c>
      <c r="L95" s="3"/>
      <c r="M95" s="29"/>
      <c r="N95" s="20"/>
      <c r="O95" s="20"/>
      <c r="P95" s="29"/>
    </row>
    <row r="96" spans="1:16" x14ac:dyDescent="0.25">
      <c r="A96" t="s">
        <v>96</v>
      </c>
      <c r="B96" s="7">
        <v>29305</v>
      </c>
      <c r="C96" s="33">
        <f t="shared" si="2"/>
        <v>18.754478757891142</v>
      </c>
      <c r="D96" s="9">
        <v>9.4420008827000856E-4</v>
      </c>
      <c r="E96" s="7">
        <v>26433</v>
      </c>
      <c r="F96" s="33">
        <f t="shared" si="3"/>
        <v>11.021042462934185</v>
      </c>
      <c r="G96" s="9">
        <v>4.0154999878723174E-3</v>
      </c>
      <c r="H96" s="15">
        <v>23809</v>
      </c>
      <c r="I96" s="17">
        <v>0.1</v>
      </c>
      <c r="J96" s="17">
        <v>65.25</v>
      </c>
      <c r="K96" s="29">
        <v>23833.3</v>
      </c>
      <c r="L96" s="3"/>
      <c r="M96" s="29"/>
      <c r="N96" s="20"/>
      <c r="O96" s="20"/>
      <c r="P96" s="29"/>
    </row>
    <row r="97" spans="1:16" x14ac:dyDescent="0.25">
      <c r="A97" t="s">
        <v>97</v>
      </c>
      <c r="B97" s="7">
        <v>28879</v>
      </c>
      <c r="C97" s="33">
        <f t="shared" si="2"/>
        <v>24.013989404065239</v>
      </c>
      <c r="D97" s="9">
        <v>1.0205999715253711E-3</v>
      </c>
      <c r="E97" s="7">
        <v>28744</v>
      </c>
      <c r="F97" s="33">
        <f t="shared" si="3"/>
        <v>30.987969376594972</v>
      </c>
      <c r="G97" s="9">
        <v>5.3315999975893646E-3</v>
      </c>
      <c r="H97" s="15">
        <v>21944</v>
      </c>
      <c r="I97" s="17">
        <v>1.44</v>
      </c>
      <c r="J97" s="17">
        <v>87.5</v>
      </c>
      <c r="K97" s="29">
        <v>22268.9</v>
      </c>
      <c r="L97" s="3"/>
      <c r="M97" s="29"/>
      <c r="N97" s="20"/>
      <c r="O97" s="20"/>
      <c r="P97" s="29"/>
    </row>
    <row r="98" spans="1:16" x14ac:dyDescent="0.25">
      <c r="A98" t="s">
        <v>98</v>
      </c>
      <c r="B98" s="7">
        <v>34178</v>
      </c>
      <c r="C98" s="33">
        <f t="shared" si="2"/>
        <v>17.408859500263326</v>
      </c>
      <c r="D98" s="9">
        <v>9.2000002041459084E-4</v>
      </c>
      <c r="E98" s="7">
        <v>31194</v>
      </c>
      <c r="F98" s="33">
        <f t="shared" si="3"/>
        <v>10.507297718577298</v>
      </c>
      <c r="G98" s="9">
        <v>3.131499994196929E-3</v>
      </c>
      <c r="H98" s="15">
        <v>28228</v>
      </c>
      <c r="I98" s="17">
        <v>0.02</v>
      </c>
      <c r="J98" s="17">
        <v>56.3</v>
      </c>
      <c r="K98" s="29">
        <v>28234.9</v>
      </c>
      <c r="L98" s="3"/>
      <c r="M98" s="29"/>
      <c r="N98" s="20"/>
      <c r="O98" s="20"/>
      <c r="P98" s="29"/>
    </row>
    <row r="99" spans="1:16" x14ac:dyDescent="0.25">
      <c r="A99" t="s">
        <v>99</v>
      </c>
      <c r="B99" s="7">
        <v>32167</v>
      </c>
      <c r="C99" s="33">
        <f t="shared" si="2"/>
        <v>21.963502968881151</v>
      </c>
      <c r="D99" s="9">
        <v>9.4439997337758541E-4</v>
      </c>
      <c r="E99" s="7">
        <v>32229</v>
      </c>
      <c r="F99" s="33">
        <f t="shared" si="3"/>
        <v>28.392159987252015</v>
      </c>
      <c r="G99" s="9">
        <v>4.5667000085813916E-3</v>
      </c>
      <c r="H99" s="15">
        <v>25102</v>
      </c>
      <c r="I99" s="17">
        <v>0.59</v>
      </c>
      <c r="J99" s="17">
        <v>72.72</v>
      </c>
      <c r="K99" s="29">
        <v>25250.799999999999</v>
      </c>
      <c r="L99" s="3"/>
      <c r="M99" s="29"/>
      <c r="N99" s="20"/>
      <c r="O99" s="20"/>
      <c r="P99" s="29"/>
    </row>
    <row r="100" spans="1:16" x14ac:dyDescent="0.25">
      <c r="A100" t="s">
        <v>100</v>
      </c>
      <c r="B100" s="7">
        <v>27090</v>
      </c>
      <c r="C100" s="33">
        <f t="shared" si="2"/>
        <v>19.73421926910299</v>
      </c>
      <c r="D100" s="9">
        <v>1.002299948595464E-3</v>
      </c>
      <c r="E100" s="7">
        <v>25567</v>
      </c>
      <c r="F100" s="33">
        <f t="shared" si="3"/>
        <v>17.581861662987492</v>
      </c>
      <c r="G100" s="9">
        <v>5.662700001266785E-3</v>
      </c>
      <c r="H100" s="15">
        <v>21744</v>
      </c>
      <c r="I100" s="17">
        <v>0.01</v>
      </c>
      <c r="J100" s="17">
        <v>94.9</v>
      </c>
      <c r="K100" s="29">
        <v>21747</v>
      </c>
      <c r="L100" s="3"/>
      <c r="M100" s="29"/>
      <c r="N100" s="20"/>
      <c r="O100" s="20"/>
      <c r="P100" s="29"/>
    </row>
    <row r="101" spans="1:16" x14ac:dyDescent="0.25">
      <c r="A101" t="s">
        <v>101</v>
      </c>
      <c r="B101" s="7">
        <v>26947</v>
      </c>
      <c r="C101" s="33">
        <f t="shared" si="2"/>
        <v>20.978216499053698</v>
      </c>
      <c r="D101" s="9">
        <v>1.0137000354006891E-3</v>
      </c>
      <c r="E101" s="7">
        <v>22034</v>
      </c>
      <c r="F101" s="33">
        <f t="shared" si="3"/>
        <v>3.4751573213111673</v>
      </c>
      <c r="G101" s="9">
        <v>8.2230000116396695E-3</v>
      </c>
      <c r="H101" s="15">
        <v>21294</v>
      </c>
      <c r="I101" s="17">
        <v>0.2</v>
      </c>
      <c r="J101" s="17">
        <v>101.54</v>
      </c>
      <c r="K101" s="29">
        <v>21336.6</v>
      </c>
      <c r="L101" s="3"/>
      <c r="M101" s="29"/>
      <c r="N101" s="20"/>
      <c r="O101" s="20"/>
      <c r="P101" s="29"/>
    </row>
    <row r="102" spans="1:16" x14ac:dyDescent="0.25">
      <c r="A102" t="s">
        <v>102</v>
      </c>
      <c r="B102" s="7">
        <v>41895</v>
      </c>
      <c r="C102" s="33">
        <f t="shared" si="2"/>
        <v>9.0344909893782077</v>
      </c>
      <c r="D102" s="9">
        <v>9.6219999250024557E-4</v>
      </c>
      <c r="E102" s="7">
        <v>40035</v>
      </c>
      <c r="F102" s="33">
        <f t="shared" si="3"/>
        <v>5.0511676725268959</v>
      </c>
      <c r="G102" s="9">
        <v>4.3486999929882586E-3</v>
      </c>
      <c r="H102" s="15">
        <v>38110</v>
      </c>
      <c r="I102" s="17">
        <v>0.47</v>
      </c>
      <c r="J102" s="17">
        <v>72.38</v>
      </c>
      <c r="K102" s="29">
        <v>38290.300000000003</v>
      </c>
      <c r="L102" s="3"/>
      <c r="M102" s="29"/>
      <c r="N102" s="20"/>
      <c r="O102" s="20"/>
      <c r="P102" s="29"/>
    </row>
    <row r="103" spans="1:16" x14ac:dyDescent="0.25">
      <c r="A103" t="s">
        <v>103</v>
      </c>
      <c r="B103" s="7">
        <v>37347</v>
      </c>
      <c r="C103" s="33">
        <f t="shared" si="2"/>
        <v>25.739684579752055</v>
      </c>
      <c r="D103" s="9">
        <v>1.2445000465959311E-3</v>
      </c>
      <c r="E103" s="7">
        <v>32288</v>
      </c>
      <c r="F103" s="33">
        <f t="shared" si="3"/>
        <v>16.420278358693299</v>
      </c>
      <c r="G103" s="9">
        <v>5.5468999926233664E-3</v>
      </c>
      <c r="H103" s="15">
        <v>27734</v>
      </c>
      <c r="I103" s="17">
        <v>0.54</v>
      </c>
      <c r="J103" s="17">
        <v>89.45</v>
      </c>
      <c r="K103" s="29">
        <v>27886.3</v>
      </c>
      <c r="L103" s="3"/>
      <c r="M103" s="29"/>
      <c r="N103" s="20"/>
      <c r="O103" s="20"/>
      <c r="P103" s="29"/>
    </row>
    <row r="104" spans="1:16" x14ac:dyDescent="0.25">
      <c r="A104" t="s">
        <v>104</v>
      </c>
      <c r="B104" s="7">
        <v>57268</v>
      </c>
      <c r="C104" s="33">
        <f t="shared" si="2"/>
        <v>14.262764545645037</v>
      </c>
      <c r="D104" s="9">
        <v>8.8740000501275063E-4</v>
      </c>
      <c r="E104" s="7">
        <v>54704</v>
      </c>
      <c r="F104" s="33">
        <f t="shared" si="3"/>
        <v>11.413441955193484</v>
      </c>
      <c r="G104" s="9">
        <v>2.7315999905113131E-3</v>
      </c>
      <c r="H104" s="15">
        <v>49100</v>
      </c>
      <c r="I104" s="17">
        <v>0.25</v>
      </c>
      <c r="J104" s="17">
        <v>67.099999999999994</v>
      </c>
      <c r="K104" s="29">
        <v>49222.8</v>
      </c>
      <c r="L104" s="3"/>
      <c r="M104" s="29"/>
      <c r="N104" s="20"/>
      <c r="O104" s="20"/>
      <c r="P104" s="29"/>
    </row>
    <row r="105" spans="1:16" x14ac:dyDescent="0.25">
      <c r="A105" t="s">
        <v>105</v>
      </c>
      <c r="B105" s="7">
        <v>45973</v>
      </c>
      <c r="C105" s="33">
        <f t="shared" si="2"/>
        <v>25.508450612315926</v>
      </c>
      <c r="D105" s="9">
        <v>9.3590002506971359E-4</v>
      </c>
      <c r="E105" s="7">
        <v>45294</v>
      </c>
      <c r="F105" s="33">
        <f t="shared" si="3"/>
        <v>32.260701979793261</v>
      </c>
      <c r="G105" s="9">
        <v>3.05810000281781E-3</v>
      </c>
      <c r="H105" s="15">
        <v>34246</v>
      </c>
      <c r="I105" s="17">
        <v>0.48</v>
      </c>
      <c r="J105" s="17">
        <v>71.56</v>
      </c>
      <c r="K105" s="29">
        <v>34414.9</v>
      </c>
      <c r="L105" s="3"/>
      <c r="M105" s="29"/>
      <c r="N105" s="20"/>
      <c r="O105" s="20"/>
      <c r="P105" s="29"/>
    </row>
    <row r="106" spans="1:16" x14ac:dyDescent="0.25">
      <c r="A106" t="s">
        <v>106</v>
      </c>
      <c r="B106" s="7">
        <v>35432</v>
      </c>
      <c r="C106" s="33">
        <f t="shared" si="2"/>
        <v>27.68119214269587</v>
      </c>
      <c r="D106" s="9">
        <v>9.9240010604262352E-4</v>
      </c>
      <c r="E106" s="7">
        <v>31071</v>
      </c>
      <c r="F106" s="33">
        <f t="shared" si="3"/>
        <v>21.257414923509209</v>
      </c>
      <c r="G106" s="9">
        <v>5.6500999926356599E-3</v>
      </c>
      <c r="H106" s="15">
        <v>25624</v>
      </c>
      <c r="I106" s="17">
        <v>0.42</v>
      </c>
      <c r="J106" s="17">
        <v>86.38</v>
      </c>
      <c r="K106" s="29">
        <v>25733.4</v>
      </c>
      <c r="L106" s="3"/>
      <c r="M106" s="29"/>
      <c r="N106" s="20"/>
      <c r="O106" s="20"/>
      <c r="P106" s="29"/>
    </row>
    <row r="107" spans="1:16" x14ac:dyDescent="0.25">
      <c r="A107" t="s">
        <v>107</v>
      </c>
      <c r="B107" s="7">
        <v>27460</v>
      </c>
      <c r="C107" s="33">
        <f t="shared" si="2"/>
        <v>19.635833940276768</v>
      </c>
      <c r="D107" s="9">
        <v>1.0230999905616041E-3</v>
      </c>
      <c r="E107" s="7">
        <v>23516</v>
      </c>
      <c r="F107" s="33">
        <f t="shared" si="3"/>
        <v>6.5615370672466922</v>
      </c>
      <c r="G107" s="9">
        <v>8.140100006130524E-3</v>
      </c>
      <c r="H107" s="15">
        <v>22068</v>
      </c>
      <c r="I107" s="17">
        <v>0.35</v>
      </c>
      <c r="J107" s="17">
        <v>89.83</v>
      </c>
      <c r="K107" s="29">
        <v>22146.9</v>
      </c>
      <c r="L107" s="3"/>
      <c r="M107" s="29"/>
      <c r="N107" s="20"/>
      <c r="O107" s="20"/>
      <c r="P107" s="29"/>
    </row>
    <row r="108" spans="1:16" x14ac:dyDescent="0.25">
      <c r="A108" t="s">
        <v>108</v>
      </c>
      <c r="B108" s="7">
        <v>28205</v>
      </c>
      <c r="C108" s="33">
        <f t="shared" si="2"/>
        <v>13.550788867222124</v>
      </c>
      <c r="D108" s="9">
        <v>1.288499915972352E-3</v>
      </c>
      <c r="E108" s="7">
        <v>26816</v>
      </c>
      <c r="F108" s="33">
        <f t="shared" si="3"/>
        <v>9.9782635442726484</v>
      </c>
      <c r="G108" s="9">
        <v>4.7427000099560246E-3</v>
      </c>
      <c r="H108" s="15">
        <v>24383</v>
      </c>
      <c r="I108" s="17">
        <v>0.09</v>
      </c>
      <c r="J108" s="17">
        <v>66.540000000000006</v>
      </c>
      <c r="K108" s="29">
        <v>24405.4</v>
      </c>
      <c r="L108" s="3"/>
      <c r="M108" s="29"/>
      <c r="N108" s="20"/>
      <c r="O108" s="20"/>
      <c r="P108" s="29"/>
    </row>
    <row r="109" spans="1:16" x14ac:dyDescent="0.25">
      <c r="A109" t="s">
        <v>109</v>
      </c>
      <c r="B109" s="7">
        <v>27135</v>
      </c>
      <c r="C109" s="33">
        <f t="shared" si="2"/>
        <v>18.477980468030218</v>
      </c>
      <c r="D109" s="9">
        <v>1.306000049225986E-3</v>
      </c>
      <c r="E109" s="7">
        <v>26520</v>
      </c>
      <c r="F109" s="33">
        <f t="shared" si="3"/>
        <v>19.8860810994078</v>
      </c>
      <c r="G109" s="9">
        <v>5.0604999996721736E-3</v>
      </c>
      <c r="H109" s="15">
        <v>22121</v>
      </c>
      <c r="I109" s="17">
        <v>0.02</v>
      </c>
      <c r="J109" s="17">
        <v>76.260000000000005</v>
      </c>
      <c r="K109" s="29">
        <v>22125</v>
      </c>
      <c r="L109" s="3"/>
      <c r="M109" s="29"/>
      <c r="N109" s="20"/>
      <c r="O109" s="20"/>
      <c r="P109" s="29"/>
    </row>
    <row r="110" spans="1:16" x14ac:dyDescent="0.25">
      <c r="A110" t="s">
        <v>110</v>
      </c>
      <c r="B110" s="7">
        <v>30358</v>
      </c>
      <c r="C110" s="33">
        <f t="shared" si="2"/>
        <v>12.905988536794254</v>
      </c>
      <c r="D110" s="9">
        <v>9.9560001399368048E-4</v>
      </c>
      <c r="E110" s="7">
        <v>29167</v>
      </c>
      <c r="F110" s="33">
        <f t="shared" si="3"/>
        <v>10.313918305597578</v>
      </c>
      <c r="G110" s="9">
        <v>2.9597000102512538E-3</v>
      </c>
      <c r="H110" s="15">
        <v>26440</v>
      </c>
      <c r="I110" s="17">
        <v>0.01</v>
      </c>
      <c r="J110" s="17">
        <v>57.5</v>
      </c>
      <c r="K110" s="29">
        <v>26443.3</v>
      </c>
      <c r="L110" s="3"/>
      <c r="M110" s="29"/>
      <c r="N110" s="20"/>
      <c r="O110" s="20"/>
      <c r="P110" s="29"/>
    </row>
    <row r="111" spans="1:16" x14ac:dyDescent="0.25">
      <c r="A111" t="s">
        <v>111</v>
      </c>
      <c r="B111" s="7">
        <v>29285</v>
      </c>
      <c r="C111" s="33">
        <f t="shared" si="2"/>
        <v>19.375106709919756</v>
      </c>
      <c r="D111" s="9">
        <v>9.6360000316053629E-4</v>
      </c>
      <c r="E111" s="7">
        <v>30959</v>
      </c>
      <c r="F111" s="33">
        <f t="shared" si="3"/>
        <v>31.121087628647665</v>
      </c>
      <c r="G111" s="9">
        <v>4.6852999948896468E-3</v>
      </c>
      <c r="H111" s="15">
        <v>23611</v>
      </c>
      <c r="I111" s="17">
        <v>0.2</v>
      </c>
      <c r="J111" s="17">
        <v>62.91</v>
      </c>
      <c r="K111" s="29">
        <v>23658.1</v>
      </c>
      <c r="L111" s="3"/>
      <c r="M111" s="29"/>
      <c r="N111" s="20"/>
      <c r="O111" s="20"/>
      <c r="P111" s="29"/>
    </row>
    <row r="112" spans="1:16" x14ac:dyDescent="0.25">
      <c r="A112" t="s">
        <v>112</v>
      </c>
      <c r="B112" s="7">
        <v>29122</v>
      </c>
      <c r="C112" s="33">
        <f t="shared" si="2"/>
        <v>22.893345237277661</v>
      </c>
      <c r="D112" s="9">
        <v>9.907999774441123E-4</v>
      </c>
      <c r="E112" s="7">
        <v>30091</v>
      </c>
      <c r="F112" s="33">
        <f t="shared" si="3"/>
        <v>34.005789356490759</v>
      </c>
      <c r="G112" s="9">
        <v>5.2527000079862773E-3</v>
      </c>
      <c r="H112" s="15">
        <v>22455</v>
      </c>
      <c r="I112" s="17">
        <v>0.47</v>
      </c>
      <c r="J112" s="17">
        <v>76.540000000000006</v>
      </c>
      <c r="K112" s="29">
        <v>22560.6</v>
      </c>
      <c r="L112" s="3"/>
      <c r="M112" s="29"/>
      <c r="N112" s="20"/>
      <c r="O112" s="20"/>
      <c r="P112" s="29"/>
    </row>
    <row r="113" spans="1:16" x14ac:dyDescent="0.25">
      <c r="A113" t="s">
        <v>113</v>
      </c>
      <c r="B113" s="7">
        <v>27460</v>
      </c>
      <c r="C113" s="33">
        <f t="shared" si="2"/>
        <v>19.635833940276768</v>
      </c>
      <c r="D113" s="9">
        <v>9.8949996754527092E-4</v>
      </c>
      <c r="E113" s="7">
        <v>23516</v>
      </c>
      <c r="F113" s="33">
        <f t="shared" si="3"/>
        <v>6.5615370672466922</v>
      </c>
      <c r="G113" s="9">
        <v>8.7647999898763373E-3</v>
      </c>
      <c r="H113" s="15">
        <v>22068</v>
      </c>
      <c r="I113" s="17">
        <v>0.28000000000000003</v>
      </c>
      <c r="J113" s="17">
        <v>100.05</v>
      </c>
      <c r="K113" s="29">
        <v>22129.1</v>
      </c>
      <c r="L113" s="3"/>
      <c r="M113" s="29"/>
      <c r="N113" s="20"/>
      <c r="O113" s="20"/>
      <c r="P113" s="29"/>
    </row>
    <row r="114" spans="1:16" x14ac:dyDescent="0.25">
      <c r="A114" t="s">
        <v>114</v>
      </c>
      <c r="B114" s="7">
        <v>45333</v>
      </c>
      <c r="C114" s="33">
        <f t="shared" si="2"/>
        <v>16.319237641453245</v>
      </c>
      <c r="D114" s="9">
        <v>9.459999855607748E-4</v>
      </c>
      <c r="E114" s="7">
        <v>41230</v>
      </c>
      <c r="F114" s="33">
        <f t="shared" si="3"/>
        <v>8.6859101093976534</v>
      </c>
      <c r="G114" s="9">
        <v>3.8357000012183562E-3</v>
      </c>
      <c r="H114" s="15">
        <v>37935</v>
      </c>
      <c r="I114" s="17">
        <v>0.16</v>
      </c>
      <c r="J114" s="17">
        <v>67.78</v>
      </c>
      <c r="K114" s="29">
        <v>37996</v>
      </c>
      <c r="L114" s="3"/>
      <c r="M114" s="29"/>
      <c r="N114" s="20"/>
      <c r="O114" s="20"/>
      <c r="P114" s="29"/>
    </row>
    <row r="115" spans="1:16" x14ac:dyDescent="0.25">
      <c r="A115" t="s">
        <v>115</v>
      </c>
      <c r="B115" s="7">
        <v>38138</v>
      </c>
      <c r="C115" s="33">
        <f t="shared" si="2"/>
        <v>23.019036131941895</v>
      </c>
      <c r="D115" s="9">
        <v>9.9899992346763611E-4</v>
      </c>
      <c r="E115" s="7">
        <v>36388</v>
      </c>
      <c r="F115" s="33">
        <f t="shared" si="3"/>
        <v>23.941551142750093</v>
      </c>
      <c r="G115" s="9">
        <v>4.9784000002546236E-3</v>
      </c>
      <c r="H115" s="15">
        <v>29359</v>
      </c>
      <c r="I115" s="17">
        <v>0.44</v>
      </c>
      <c r="J115" s="17">
        <v>90.94</v>
      </c>
      <c r="K115" s="29">
        <v>29489.200000000001</v>
      </c>
      <c r="L115" s="3"/>
      <c r="M115" s="29"/>
      <c r="N115" s="20"/>
      <c r="O115" s="20"/>
      <c r="P115" s="29"/>
    </row>
    <row r="116" spans="1:16" x14ac:dyDescent="0.25">
      <c r="A116" t="s">
        <v>116</v>
      </c>
      <c r="B116" s="7">
        <v>60075</v>
      </c>
      <c r="C116" s="33">
        <f t="shared" si="2"/>
        <v>9.7844361215147746</v>
      </c>
      <c r="D116" s="9">
        <v>9.1629999224096537E-4</v>
      </c>
      <c r="E116" s="7">
        <v>61505</v>
      </c>
      <c r="F116" s="33">
        <f t="shared" si="3"/>
        <v>13.484141188626678</v>
      </c>
      <c r="G116" s="9">
        <v>2.5725000014062971E-3</v>
      </c>
      <c r="H116" s="15">
        <v>54197</v>
      </c>
      <c r="I116" s="17">
        <v>0.16</v>
      </c>
      <c r="J116" s="17">
        <v>66.37</v>
      </c>
      <c r="K116" s="29">
        <v>54285.2</v>
      </c>
      <c r="L116" s="3"/>
      <c r="M116" s="29"/>
      <c r="N116" s="20"/>
      <c r="O116" s="20"/>
      <c r="P116" s="29"/>
    </row>
    <row r="117" spans="1:16" x14ac:dyDescent="0.25">
      <c r="A117" t="s">
        <v>117</v>
      </c>
      <c r="B117" s="7">
        <v>45595</v>
      </c>
      <c r="C117" s="33">
        <f t="shared" si="2"/>
        <v>15.870161201886171</v>
      </c>
      <c r="D117" s="9">
        <v>9.8550005350261927E-4</v>
      </c>
      <c r="E117" s="7">
        <v>43088</v>
      </c>
      <c r="F117" s="33">
        <f t="shared" si="3"/>
        <v>12.328267160249224</v>
      </c>
      <c r="G117" s="9">
        <v>3.7615999899571761E-3</v>
      </c>
      <c r="H117" s="15">
        <v>38359</v>
      </c>
      <c r="I117" s="17">
        <v>0.88</v>
      </c>
      <c r="J117" s="17">
        <v>76.58</v>
      </c>
      <c r="K117" s="29">
        <v>38700.800000000003</v>
      </c>
      <c r="L117" s="3"/>
    </row>
    <row r="118" spans="1:16" x14ac:dyDescent="0.25">
      <c r="A118" t="s">
        <v>118</v>
      </c>
      <c r="B118" s="7">
        <v>34112</v>
      </c>
      <c r="C118" s="33">
        <f t="shared" si="2"/>
        <v>20.098499061913696</v>
      </c>
      <c r="D118" s="9">
        <v>1.010300009511411E-3</v>
      </c>
      <c r="E118" s="7">
        <v>32257</v>
      </c>
      <c r="F118" s="33">
        <f t="shared" si="3"/>
        <v>18.348253595538598</v>
      </c>
      <c r="G118" s="9">
        <v>5.6997999927261844E-3</v>
      </c>
      <c r="H118" s="15">
        <v>27256</v>
      </c>
      <c r="I118" s="17">
        <v>0.22</v>
      </c>
      <c r="J118" s="17">
        <v>109.86</v>
      </c>
      <c r="K118" s="29">
        <v>27316.3</v>
      </c>
      <c r="L118" s="3"/>
    </row>
    <row r="119" spans="1:16" x14ac:dyDescent="0.25">
      <c r="A119" t="s">
        <v>119</v>
      </c>
      <c r="B119" s="7">
        <v>1630</v>
      </c>
      <c r="C119" s="33">
        <f t="shared" si="2"/>
        <v>21.901840490797547</v>
      </c>
      <c r="D119" s="9">
        <v>2.0689994562417269E-4</v>
      </c>
      <c r="E119" s="7">
        <v>1404</v>
      </c>
      <c r="F119" s="33">
        <f t="shared" si="3"/>
        <v>10.290652003142183</v>
      </c>
      <c r="G119" s="9">
        <v>9.6139998640865088E-4</v>
      </c>
      <c r="H119" s="11">
        <v>1273</v>
      </c>
      <c r="I119" s="13">
        <v>0</v>
      </c>
      <c r="J119" s="13">
        <v>4.6500000000000004</v>
      </c>
      <c r="K119" s="3"/>
      <c r="L119" s="3"/>
    </row>
    <row r="120" spans="1:16" x14ac:dyDescent="0.25">
      <c r="A120" t="s">
        <v>120</v>
      </c>
      <c r="B120" s="7">
        <v>1483</v>
      </c>
      <c r="C120" s="33">
        <f t="shared" si="2"/>
        <v>9.1706001348617665</v>
      </c>
      <c r="D120" s="9">
        <v>1.9060005433857441E-4</v>
      </c>
      <c r="E120" s="7">
        <v>1470</v>
      </c>
      <c r="F120" s="33">
        <f t="shared" si="3"/>
        <v>9.1314031180400885</v>
      </c>
      <c r="G120" s="9">
        <v>4.518000059761107E-4</v>
      </c>
      <c r="H120" s="14">
        <v>1347</v>
      </c>
      <c r="I120" s="13">
        <v>0</v>
      </c>
      <c r="J120" s="13">
        <v>3.56</v>
      </c>
      <c r="K120" s="3"/>
      <c r="L120" s="3"/>
      <c r="M120" s="11"/>
      <c r="N120" s="11"/>
      <c r="O120" s="11"/>
    </row>
    <row r="121" spans="1:16" x14ac:dyDescent="0.25">
      <c r="A121" t="s">
        <v>121</v>
      </c>
      <c r="B121" s="7">
        <v>1908</v>
      </c>
      <c r="C121" s="33">
        <f t="shared" si="2"/>
        <v>21.121593291404611</v>
      </c>
      <c r="D121" s="9">
        <v>2.1309999283403161E-4</v>
      </c>
      <c r="E121" s="7">
        <v>1609</v>
      </c>
      <c r="F121" s="33">
        <f t="shared" si="3"/>
        <v>6.9102990033222591</v>
      </c>
      <c r="G121" s="9">
        <v>5.2909999794792384E-4</v>
      </c>
      <c r="H121" s="14">
        <v>1505</v>
      </c>
      <c r="I121" s="13">
        <v>0</v>
      </c>
      <c r="J121" s="13">
        <v>3.67</v>
      </c>
      <c r="K121" s="3"/>
      <c r="L121" s="3"/>
      <c r="M121" s="11"/>
      <c r="N121" s="11"/>
      <c r="O121" s="11"/>
    </row>
    <row r="122" spans="1:16" x14ac:dyDescent="0.25">
      <c r="A122" t="s">
        <v>122</v>
      </c>
      <c r="B122" s="7">
        <v>1779</v>
      </c>
      <c r="C122" s="33">
        <f t="shared" si="2"/>
        <v>17.537942664418214</v>
      </c>
      <c r="D122" s="9">
        <v>1.8650002311915159E-4</v>
      </c>
      <c r="E122" s="7">
        <v>1632</v>
      </c>
      <c r="F122" s="33">
        <f t="shared" si="3"/>
        <v>11.247443762781186</v>
      </c>
      <c r="G122" s="9">
        <v>5.1779999921564013E-4</v>
      </c>
      <c r="H122" s="14">
        <v>1467</v>
      </c>
      <c r="I122" s="13">
        <v>0</v>
      </c>
      <c r="J122" s="13">
        <v>3.26</v>
      </c>
      <c r="K122" s="3"/>
      <c r="L122" s="3"/>
      <c r="M122" s="11"/>
      <c r="N122" s="11"/>
      <c r="O122" s="11"/>
    </row>
    <row r="123" spans="1:16" x14ac:dyDescent="0.25">
      <c r="A123" t="s">
        <v>123</v>
      </c>
      <c r="B123" s="7">
        <v>1485</v>
      </c>
      <c r="C123" s="33">
        <f t="shared" si="2"/>
        <v>12.390572390572391</v>
      </c>
      <c r="D123" s="9">
        <v>6.7189999390393496E-4</v>
      </c>
      <c r="E123" s="7">
        <v>1441</v>
      </c>
      <c r="F123" s="33">
        <f t="shared" si="3"/>
        <v>10.760953112990007</v>
      </c>
      <c r="G123" s="9">
        <v>6.0230000235605985E-4</v>
      </c>
      <c r="H123" s="14">
        <v>1301</v>
      </c>
      <c r="I123" s="13">
        <v>0.14000000000000001</v>
      </c>
      <c r="J123" s="13">
        <v>4.3099999999999996</v>
      </c>
      <c r="K123" s="3"/>
      <c r="L123" s="3"/>
      <c r="M123" s="11"/>
      <c r="N123" s="11"/>
      <c r="O123" s="11"/>
    </row>
    <row r="124" spans="1:16" x14ac:dyDescent="0.25">
      <c r="A124" t="s">
        <v>124</v>
      </c>
      <c r="B124" s="7">
        <v>1777</v>
      </c>
      <c r="C124" s="33">
        <f t="shared" si="2"/>
        <v>24.366910523353969</v>
      </c>
      <c r="D124" s="9">
        <v>1.9900000188499689E-4</v>
      </c>
      <c r="E124" s="7">
        <v>1602</v>
      </c>
      <c r="F124" s="33">
        <f t="shared" si="3"/>
        <v>19.196428571428573</v>
      </c>
      <c r="G124" s="9">
        <v>6.6150000202469528E-4</v>
      </c>
      <c r="H124" s="14">
        <v>1344</v>
      </c>
      <c r="I124" s="13">
        <v>0</v>
      </c>
      <c r="J124" s="13">
        <v>4.3</v>
      </c>
      <c r="K124" s="3"/>
      <c r="L124" s="3"/>
      <c r="M124" s="11"/>
      <c r="N124" s="11"/>
      <c r="O124" s="11"/>
    </row>
    <row r="125" spans="1:16" x14ac:dyDescent="0.25">
      <c r="A125" t="s">
        <v>125</v>
      </c>
      <c r="B125" s="7">
        <v>1725</v>
      </c>
      <c r="C125" s="33">
        <f t="shared" si="2"/>
        <v>21.333333333333336</v>
      </c>
      <c r="D125" s="9">
        <v>1.9880000036209819E-4</v>
      </c>
      <c r="E125" s="7">
        <v>1492</v>
      </c>
      <c r="F125" s="33">
        <f t="shared" si="3"/>
        <v>9.9484156226971265</v>
      </c>
      <c r="G125" s="9">
        <v>5.6829999084584415E-4</v>
      </c>
      <c r="H125" s="14">
        <v>1357</v>
      </c>
      <c r="I125" s="13">
        <v>0</v>
      </c>
      <c r="J125" s="13">
        <v>4.26</v>
      </c>
      <c r="K125" s="3"/>
      <c r="L125" s="3"/>
      <c r="M125" s="11"/>
      <c r="N125" s="11"/>
      <c r="O125" s="11"/>
    </row>
    <row r="126" spans="1:16" x14ac:dyDescent="0.25">
      <c r="A126" t="s">
        <v>126</v>
      </c>
      <c r="B126" s="7">
        <v>1886</v>
      </c>
      <c r="C126" s="33">
        <f t="shared" si="2"/>
        <v>17.2322375397667</v>
      </c>
      <c r="D126" s="9">
        <v>1.8360000103712079E-4</v>
      </c>
      <c r="E126" s="7">
        <v>1583</v>
      </c>
      <c r="F126" s="33">
        <f t="shared" si="3"/>
        <v>1.4093529788597052</v>
      </c>
      <c r="G126" s="9">
        <v>4.1059999784920359E-4</v>
      </c>
      <c r="H126" s="14">
        <v>1561</v>
      </c>
      <c r="I126" s="13">
        <v>0</v>
      </c>
      <c r="J126" s="13">
        <v>3.01</v>
      </c>
      <c r="K126" s="3"/>
      <c r="L126" s="3"/>
      <c r="M126" s="11"/>
      <c r="N126" s="11"/>
      <c r="O126" s="11"/>
    </row>
    <row r="127" spans="1:16" x14ac:dyDescent="0.25">
      <c r="A127" t="s">
        <v>127</v>
      </c>
      <c r="B127" s="7">
        <v>1872</v>
      </c>
      <c r="C127" s="33">
        <f t="shared" si="2"/>
        <v>17.735042735042736</v>
      </c>
      <c r="D127" s="9">
        <v>1.831999979913235E-4</v>
      </c>
      <c r="E127" s="7">
        <v>1617</v>
      </c>
      <c r="F127" s="33">
        <f t="shared" si="3"/>
        <v>5</v>
      </c>
      <c r="G127" s="9">
        <v>3.9890001062303782E-4</v>
      </c>
      <c r="H127" s="14">
        <v>1540</v>
      </c>
      <c r="I127" s="13">
        <v>0</v>
      </c>
      <c r="J127" s="13">
        <v>2.89</v>
      </c>
      <c r="K127" s="3"/>
      <c r="L127" s="3"/>
      <c r="M127" s="11"/>
      <c r="N127" s="11"/>
      <c r="O127" s="11"/>
    </row>
    <row r="128" spans="1:16" x14ac:dyDescent="0.25">
      <c r="A128" t="s">
        <v>128</v>
      </c>
      <c r="B128" s="7">
        <v>1841</v>
      </c>
      <c r="C128" s="33">
        <f t="shared" si="2"/>
        <v>16.784356328082563</v>
      </c>
      <c r="D128" s="9">
        <v>1.8710002768784759E-4</v>
      </c>
      <c r="E128" s="7">
        <v>1693</v>
      </c>
      <c r="F128" s="33">
        <f t="shared" si="3"/>
        <v>10.509138381201044</v>
      </c>
      <c r="G128" s="9">
        <v>4.0170000283978879E-4</v>
      </c>
      <c r="H128" s="14">
        <v>1532</v>
      </c>
      <c r="I128" s="13">
        <v>0</v>
      </c>
      <c r="J128" s="13">
        <v>3.03</v>
      </c>
      <c r="K128" s="3"/>
      <c r="L128" s="3"/>
      <c r="M128" s="11"/>
      <c r="N128" s="11"/>
      <c r="O128" s="11"/>
    </row>
    <row r="129" spans="1:15" x14ac:dyDescent="0.25">
      <c r="A129" t="s">
        <v>129</v>
      </c>
      <c r="B129" s="7">
        <v>1733</v>
      </c>
      <c r="C129" s="33">
        <f t="shared" si="2"/>
        <v>17.253317945758802</v>
      </c>
      <c r="D129" s="9">
        <v>1.8999993335455659E-4</v>
      </c>
      <c r="E129" s="7">
        <v>1658</v>
      </c>
      <c r="F129" s="33">
        <f t="shared" si="3"/>
        <v>15.620641562064156</v>
      </c>
      <c r="G129" s="9">
        <v>5.3649999608751386E-4</v>
      </c>
      <c r="H129" s="14">
        <v>1434</v>
      </c>
      <c r="I129" s="13">
        <v>0</v>
      </c>
      <c r="J129" s="13">
        <v>4.1100000000000003</v>
      </c>
      <c r="K129" s="3"/>
      <c r="L129" s="3"/>
      <c r="M129" s="11"/>
      <c r="N129" s="11"/>
      <c r="O129" s="11"/>
    </row>
    <row r="130" spans="1:15" x14ac:dyDescent="0.25">
      <c r="A130" t="s">
        <v>130</v>
      </c>
      <c r="B130" s="7">
        <v>1815</v>
      </c>
      <c r="C130" s="33">
        <f t="shared" si="2"/>
        <v>19.0633608815427</v>
      </c>
      <c r="D130" s="9">
        <v>1.9399996381252999E-4</v>
      </c>
      <c r="E130" s="7">
        <v>1633</v>
      </c>
      <c r="F130" s="33">
        <f t="shared" si="3"/>
        <v>11.164057181756297</v>
      </c>
      <c r="G130" s="9">
        <v>5.2099999447818846E-4</v>
      </c>
      <c r="H130" s="14">
        <v>1469</v>
      </c>
      <c r="I130" s="13">
        <v>0</v>
      </c>
      <c r="J130" s="13">
        <v>4.3</v>
      </c>
      <c r="K130" s="3"/>
      <c r="L130" s="3"/>
      <c r="M130" s="11"/>
      <c r="N130" s="11"/>
      <c r="O130" s="11"/>
    </row>
    <row r="131" spans="1:15" x14ac:dyDescent="0.25">
      <c r="A131" t="s">
        <v>131</v>
      </c>
      <c r="B131" s="7">
        <v>1660</v>
      </c>
      <c r="C131" s="33">
        <f t="shared" si="2"/>
        <v>19.638554216867472</v>
      </c>
      <c r="D131" s="9">
        <v>1.8980004824697971E-4</v>
      </c>
      <c r="E131" s="7">
        <v>1771</v>
      </c>
      <c r="F131" s="33">
        <f t="shared" si="3"/>
        <v>32.758620689655174</v>
      </c>
      <c r="G131" s="9">
        <v>4.8979998973663896E-4</v>
      </c>
      <c r="H131" s="14">
        <v>1334</v>
      </c>
      <c r="I131" s="13">
        <v>0</v>
      </c>
      <c r="J131" s="13">
        <v>4.1100000000000003</v>
      </c>
      <c r="K131" s="3"/>
      <c r="L131" s="3"/>
      <c r="M131" s="11"/>
      <c r="N131" s="11"/>
      <c r="O131" s="11"/>
    </row>
    <row r="132" spans="1:15" x14ac:dyDescent="0.25">
      <c r="A132" t="s">
        <v>132</v>
      </c>
      <c r="B132" s="7">
        <v>1465</v>
      </c>
      <c r="C132" s="33">
        <f t="shared" ref="C132:C150" si="4">((B132 -H132)/B132 * 100)</f>
        <v>13.10580204778157</v>
      </c>
      <c r="D132" s="9">
        <v>2.1490000654011959E-4</v>
      </c>
      <c r="E132" s="7">
        <v>1453</v>
      </c>
      <c r="F132" s="33">
        <f t="shared" ref="F132:F150" si="5">((E132 - H132)/H132 * 100)</f>
        <v>14.139827179890025</v>
      </c>
      <c r="G132" s="9">
        <v>7.8590000339318067E-4</v>
      </c>
      <c r="H132" s="14">
        <v>1273</v>
      </c>
      <c r="I132" s="13">
        <v>0</v>
      </c>
      <c r="J132" s="13">
        <v>5.2</v>
      </c>
      <c r="K132" s="3"/>
      <c r="L132" s="3"/>
      <c r="M132" s="11"/>
      <c r="N132" s="11"/>
      <c r="O132" s="11"/>
    </row>
    <row r="133" spans="1:15" x14ac:dyDescent="0.25">
      <c r="A133" t="s">
        <v>133</v>
      </c>
      <c r="B133" s="7">
        <v>1630</v>
      </c>
      <c r="C133" s="33">
        <f t="shared" si="4"/>
        <v>21.901840490797547</v>
      </c>
      <c r="D133" s="9">
        <v>2.018000232055783E-4</v>
      </c>
      <c r="E133" s="7">
        <v>1576</v>
      </c>
      <c r="F133" s="33">
        <f t="shared" si="5"/>
        <v>23.802042419481538</v>
      </c>
      <c r="G133" s="9">
        <v>9.3890000425744802E-4</v>
      </c>
      <c r="H133" s="14">
        <v>1273</v>
      </c>
      <c r="I133" s="13">
        <v>0</v>
      </c>
      <c r="J133" s="13">
        <v>4.51</v>
      </c>
      <c r="K133" s="3"/>
      <c r="L133" s="3"/>
      <c r="M133" s="11"/>
      <c r="N133" s="11"/>
      <c r="O133" s="11"/>
    </row>
    <row r="134" spans="1:15" x14ac:dyDescent="0.25">
      <c r="A134" t="s">
        <v>134</v>
      </c>
      <c r="B134" s="7">
        <v>1669</v>
      </c>
      <c r="C134" s="33">
        <f t="shared" si="4"/>
        <v>22.049131216297184</v>
      </c>
      <c r="D134" s="9">
        <v>2.0650005899369719E-4</v>
      </c>
      <c r="E134" s="7">
        <v>1548</v>
      </c>
      <c r="F134" s="33">
        <f t="shared" si="5"/>
        <v>18.985395849346656</v>
      </c>
      <c r="G134" s="9">
        <v>7.7969999983906746E-4</v>
      </c>
      <c r="H134" s="14">
        <v>1301</v>
      </c>
      <c r="I134" s="13">
        <v>0.14000000000000001</v>
      </c>
      <c r="J134" s="13">
        <v>5.2</v>
      </c>
      <c r="K134" s="3"/>
      <c r="L134" s="3"/>
      <c r="M134" s="11"/>
      <c r="N134" s="11"/>
      <c r="O134" s="11"/>
    </row>
    <row r="135" spans="1:15" x14ac:dyDescent="0.25">
      <c r="A135" t="s">
        <v>135</v>
      </c>
      <c r="B135" s="7">
        <v>1630</v>
      </c>
      <c r="C135" s="33">
        <f t="shared" si="4"/>
        <v>21.901840490797547</v>
      </c>
      <c r="D135" s="9">
        <v>2.1109997760504479E-4</v>
      </c>
      <c r="E135" s="7">
        <v>1404</v>
      </c>
      <c r="F135" s="33">
        <f t="shared" si="5"/>
        <v>10.290652003142183</v>
      </c>
      <c r="G135" s="9">
        <v>8.5029999900143594E-4</v>
      </c>
      <c r="H135" s="15">
        <v>1273</v>
      </c>
      <c r="I135" s="16">
        <v>0</v>
      </c>
      <c r="J135" s="16">
        <v>5.1100000000000003</v>
      </c>
      <c r="K135" s="3"/>
      <c r="L135" s="3"/>
      <c r="M135" s="11"/>
      <c r="N135" s="11"/>
      <c r="O135" s="11"/>
    </row>
    <row r="136" spans="1:15" x14ac:dyDescent="0.25">
      <c r="A136" t="s">
        <v>136</v>
      </c>
      <c r="B136" s="7">
        <v>2507</v>
      </c>
      <c r="C136" s="33">
        <f t="shared" si="4"/>
        <v>10.011966493817312</v>
      </c>
      <c r="D136" s="9">
        <v>1.9019993487745521E-4</v>
      </c>
      <c r="E136" s="7">
        <v>2572</v>
      </c>
      <c r="F136" s="33">
        <f t="shared" si="5"/>
        <v>14.00709219858156</v>
      </c>
      <c r="G136" s="9">
        <v>6.0369999846443534E-4</v>
      </c>
      <c r="H136" s="15">
        <v>2256</v>
      </c>
      <c r="I136" s="16">
        <v>0</v>
      </c>
      <c r="J136" s="16">
        <v>3.88</v>
      </c>
      <c r="K136" s="3"/>
      <c r="L136" s="3"/>
      <c r="M136" s="29"/>
      <c r="N136" s="29"/>
      <c r="O136" s="29"/>
    </row>
    <row r="137" spans="1:15" x14ac:dyDescent="0.25">
      <c r="A137" t="s">
        <v>137</v>
      </c>
      <c r="B137" s="7">
        <v>2619</v>
      </c>
      <c r="C137" s="33">
        <f t="shared" si="4"/>
        <v>17.793050782741503</v>
      </c>
      <c r="D137" s="9">
        <v>1.9060005433857441E-4</v>
      </c>
      <c r="E137" s="7">
        <v>2371</v>
      </c>
      <c r="F137" s="33">
        <f t="shared" si="5"/>
        <v>10.125406409660938</v>
      </c>
      <c r="G137" s="9">
        <v>4.5839999802410603E-4</v>
      </c>
      <c r="H137" s="15">
        <v>2153</v>
      </c>
      <c r="I137" s="16">
        <v>0</v>
      </c>
      <c r="J137" s="16">
        <v>4.43</v>
      </c>
      <c r="K137" s="3"/>
      <c r="L137" s="3"/>
      <c r="M137" s="29"/>
      <c r="N137" s="29"/>
      <c r="O137" s="29"/>
    </row>
    <row r="138" spans="1:15" x14ac:dyDescent="0.25">
      <c r="A138" t="s">
        <v>138</v>
      </c>
      <c r="B138" s="7">
        <v>2448</v>
      </c>
      <c r="C138" s="33">
        <f t="shared" si="4"/>
        <v>15.032679738562091</v>
      </c>
      <c r="D138" s="9">
        <v>1.8960004672408101E-4</v>
      </c>
      <c r="E138" s="7">
        <v>2338</v>
      </c>
      <c r="F138" s="33">
        <f t="shared" si="5"/>
        <v>12.403846153846153</v>
      </c>
      <c r="G138" s="9">
        <v>4.5700000191573048E-4</v>
      </c>
      <c r="H138" s="15">
        <v>2080</v>
      </c>
      <c r="I138" s="16">
        <v>0</v>
      </c>
      <c r="J138" s="16">
        <v>3.88</v>
      </c>
      <c r="K138" s="3"/>
      <c r="L138" s="3"/>
      <c r="M138" s="29"/>
      <c r="N138" s="29"/>
      <c r="O138" s="29"/>
    </row>
    <row r="139" spans="1:15" x14ac:dyDescent="0.25">
      <c r="A139" t="s">
        <v>139</v>
      </c>
      <c r="B139" s="7">
        <v>1943</v>
      </c>
      <c r="C139" s="33">
        <f t="shared" si="4"/>
        <v>14.976839938239836</v>
      </c>
      <c r="D139" s="9">
        <v>1.9900000188499689E-4</v>
      </c>
      <c r="E139" s="7">
        <v>1954</v>
      </c>
      <c r="F139" s="33">
        <f t="shared" si="5"/>
        <v>18.280871670702179</v>
      </c>
      <c r="G139" s="9">
        <v>5.8329998864792287E-4</v>
      </c>
      <c r="H139" s="15">
        <v>1652</v>
      </c>
      <c r="I139" s="16">
        <v>0</v>
      </c>
      <c r="J139" s="16">
        <v>4.78</v>
      </c>
      <c r="K139" s="3"/>
      <c r="L139" s="3"/>
      <c r="M139" s="29"/>
      <c r="N139" s="29"/>
      <c r="O139" s="29"/>
    </row>
    <row r="140" spans="1:15" x14ac:dyDescent="0.25">
      <c r="A140" t="s">
        <v>140</v>
      </c>
      <c r="B140" s="7">
        <v>1758</v>
      </c>
      <c r="C140" s="33">
        <f t="shared" si="4"/>
        <v>8.5893060295790669</v>
      </c>
      <c r="D140" s="9">
        <v>1.9789999350905421E-4</v>
      </c>
      <c r="E140" s="7">
        <v>1928</v>
      </c>
      <c r="F140" s="33">
        <f t="shared" si="5"/>
        <v>19.975108898568759</v>
      </c>
      <c r="G140" s="9">
        <v>5.791000003227964E-4</v>
      </c>
      <c r="H140" s="15">
        <v>1607</v>
      </c>
      <c r="I140" s="16">
        <v>0.11</v>
      </c>
      <c r="J140" s="16">
        <v>5</v>
      </c>
      <c r="K140" s="3"/>
      <c r="L140" s="3"/>
      <c r="M140" s="29"/>
      <c r="N140" s="29"/>
      <c r="O140" s="29"/>
    </row>
    <row r="141" spans="1:15" x14ac:dyDescent="0.25">
      <c r="A141" t="s">
        <v>141</v>
      </c>
      <c r="B141" s="7">
        <v>1790</v>
      </c>
      <c r="C141" s="33">
        <f t="shared" si="4"/>
        <v>14.804469273743019</v>
      </c>
      <c r="D141" s="9">
        <v>2.261999761685729E-4</v>
      </c>
      <c r="E141" s="7">
        <v>1818</v>
      </c>
      <c r="F141" s="33">
        <f t="shared" si="5"/>
        <v>19.21311475409836</v>
      </c>
      <c r="G141" s="9">
        <v>6.520000024465844E-4</v>
      </c>
      <c r="H141" s="15">
        <v>1525</v>
      </c>
      <c r="I141" s="16">
        <v>0</v>
      </c>
      <c r="J141" s="16">
        <v>4.33</v>
      </c>
      <c r="K141" s="3"/>
      <c r="L141" s="3"/>
      <c r="M141" s="29"/>
      <c r="N141" s="29"/>
      <c r="O141" s="29"/>
    </row>
    <row r="142" spans="1:15" x14ac:dyDescent="0.25">
      <c r="A142" t="s">
        <v>142</v>
      </c>
      <c r="B142" s="7">
        <v>2736</v>
      </c>
      <c r="C142" s="33">
        <f t="shared" si="4"/>
        <v>13.559941520467836</v>
      </c>
      <c r="D142" s="9">
        <v>1.855000155046582E-4</v>
      </c>
      <c r="E142" s="7">
        <v>2501</v>
      </c>
      <c r="F142" s="33">
        <f t="shared" si="5"/>
        <v>5.7505285412262159</v>
      </c>
      <c r="G142" s="9">
        <v>3.6409999302122742E-4</v>
      </c>
      <c r="H142" s="15">
        <v>2365</v>
      </c>
      <c r="I142" s="16">
        <v>0</v>
      </c>
      <c r="J142" s="16">
        <v>3.59</v>
      </c>
      <c r="K142" s="3"/>
      <c r="L142" s="3"/>
      <c r="M142" s="29"/>
      <c r="N142" s="29"/>
      <c r="O142" s="29"/>
    </row>
    <row r="143" spans="1:15" x14ac:dyDescent="0.25">
      <c r="A143" t="s">
        <v>143</v>
      </c>
      <c r="B143" s="7">
        <v>2865</v>
      </c>
      <c r="C143" s="33">
        <f t="shared" si="4"/>
        <v>10.401396160558464</v>
      </c>
      <c r="D143" s="9">
        <v>1.8430000636726621E-4</v>
      </c>
      <c r="E143" s="7">
        <v>2890</v>
      </c>
      <c r="F143" s="33">
        <f t="shared" si="5"/>
        <v>12.582781456953644</v>
      </c>
      <c r="G143" s="9">
        <v>3.6069999623578042E-4</v>
      </c>
      <c r="H143" s="15">
        <v>2567</v>
      </c>
      <c r="I143" s="16">
        <v>0</v>
      </c>
      <c r="J143" s="16">
        <v>3.21</v>
      </c>
      <c r="K143" s="3"/>
      <c r="L143" s="3"/>
      <c r="M143" s="29"/>
      <c r="N143" s="29"/>
      <c r="O143" s="29"/>
    </row>
    <row r="144" spans="1:15" x14ac:dyDescent="0.25">
      <c r="A144" t="s">
        <v>144</v>
      </c>
      <c r="B144" s="7">
        <v>2987</v>
      </c>
      <c r="C144" s="33">
        <f t="shared" si="4"/>
        <v>9.8091730833612321</v>
      </c>
      <c r="D144" s="9">
        <v>2.0139990374445921E-4</v>
      </c>
      <c r="E144" s="7">
        <v>2974</v>
      </c>
      <c r="F144" s="33">
        <f t="shared" si="5"/>
        <v>10.393466963622867</v>
      </c>
      <c r="G144" s="9">
        <v>4.0920000174082821E-4</v>
      </c>
      <c r="H144" s="15">
        <v>2694</v>
      </c>
      <c r="I144" s="16">
        <v>0.03</v>
      </c>
      <c r="J144" s="16">
        <v>3.72</v>
      </c>
      <c r="K144" s="3"/>
      <c r="L144" s="3"/>
      <c r="M144" s="29"/>
      <c r="N144" s="29"/>
      <c r="O144" s="29"/>
    </row>
    <row r="145" spans="1:15" x14ac:dyDescent="0.25">
      <c r="A145" t="s">
        <v>145</v>
      </c>
      <c r="B145" s="7">
        <v>2178</v>
      </c>
      <c r="C145" s="33">
        <f t="shared" si="4"/>
        <v>16.804407713498623</v>
      </c>
      <c r="D145" s="9">
        <v>2.098999684676528E-4</v>
      </c>
      <c r="E145" s="7">
        <v>2420</v>
      </c>
      <c r="F145" s="33">
        <f t="shared" si="5"/>
        <v>33.554083885209714</v>
      </c>
      <c r="G145" s="9">
        <v>4.3990000267513102E-4</v>
      </c>
      <c r="H145" s="15">
        <v>1812</v>
      </c>
      <c r="I145" s="16">
        <v>0</v>
      </c>
      <c r="J145" s="16">
        <v>4.08</v>
      </c>
      <c r="K145" s="3"/>
      <c r="L145" s="3"/>
      <c r="M145" s="29"/>
      <c r="N145" s="29"/>
      <c r="O145" s="29"/>
    </row>
    <row r="146" spans="1:15" x14ac:dyDescent="0.25">
      <c r="A146" t="s">
        <v>146</v>
      </c>
      <c r="B146" s="7">
        <v>2228</v>
      </c>
      <c r="C146" s="33">
        <f t="shared" si="4"/>
        <v>14.497307001795331</v>
      </c>
      <c r="D146" s="9">
        <v>1.9090005662292239E-4</v>
      </c>
      <c r="E146" s="7">
        <v>2390</v>
      </c>
      <c r="F146" s="33">
        <f t="shared" si="5"/>
        <v>25.459317585301839</v>
      </c>
      <c r="G146" s="9">
        <v>5.6680000852793455E-4</v>
      </c>
      <c r="H146" s="15">
        <v>1905</v>
      </c>
      <c r="I146" s="16">
        <v>0</v>
      </c>
      <c r="J146" s="16">
        <v>4.32</v>
      </c>
      <c r="K146" s="3"/>
      <c r="L146" s="3"/>
      <c r="M146" s="29"/>
      <c r="N146" s="29"/>
      <c r="O146" s="29"/>
    </row>
    <row r="147" spans="1:15" x14ac:dyDescent="0.25">
      <c r="A147" t="s">
        <v>147</v>
      </c>
      <c r="B147" s="7">
        <v>2250</v>
      </c>
      <c r="C147" s="33">
        <f t="shared" si="4"/>
        <v>15.111111111111111</v>
      </c>
      <c r="D147" s="9">
        <v>1.9059993792325261E-4</v>
      </c>
      <c r="E147" s="7">
        <v>2317</v>
      </c>
      <c r="F147" s="33">
        <f t="shared" si="5"/>
        <v>21.308900523560208</v>
      </c>
      <c r="G147" s="9">
        <v>7.3980000161100179E-4</v>
      </c>
      <c r="H147" s="15">
        <v>1910</v>
      </c>
      <c r="I147" s="16">
        <v>0</v>
      </c>
      <c r="J147" s="16">
        <v>3.83</v>
      </c>
      <c r="K147" s="3"/>
      <c r="L147" s="3"/>
    </row>
    <row r="148" spans="1:15" x14ac:dyDescent="0.25">
      <c r="A148" t="s">
        <v>148</v>
      </c>
      <c r="B148" s="7">
        <v>1856</v>
      </c>
      <c r="C148" s="33">
        <f t="shared" si="4"/>
        <v>20.581896551724139</v>
      </c>
      <c r="D148" s="9">
        <v>2.0059989765286451E-4</v>
      </c>
      <c r="E148" s="7">
        <v>1779</v>
      </c>
      <c r="F148" s="33">
        <f t="shared" si="5"/>
        <v>20.691994572591589</v>
      </c>
      <c r="G148" s="9">
        <v>6.6959999094251543E-4</v>
      </c>
      <c r="H148" s="15">
        <v>1474</v>
      </c>
      <c r="I148" s="16">
        <v>0</v>
      </c>
      <c r="J148" s="16">
        <v>4.95</v>
      </c>
      <c r="K148" s="3"/>
      <c r="L148" s="3"/>
    </row>
    <row r="149" spans="1:15" x14ac:dyDescent="0.25">
      <c r="A149" t="s">
        <v>149</v>
      </c>
      <c r="B149" s="7">
        <v>2096</v>
      </c>
      <c r="C149" s="33">
        <f t="shared" si="4"/>
        <v>26.479007633587788</v>
      </c>
      <c r="D149" s="9">
        <v>2.0270003005862239E-4</v>
      </c>
      <c r="E149" s="7">
        <v>1972</v>
      </c>
      <c r="F149" s="33">
        <f t="shared" si="5"/>
        <v>27.968851395197923</v>
      </c>
      <c r="G149" s="9">
        <v>7.3970000084955245E-4</v>
      </c>
      <c r="H149" s="15">
        <v>1541</v>
      </c>
      <c r="I149" s="16">
        <v>0</v>
      </c>
      <c r="J149" s="16">
        <v>5.28</v>
      </c>
      <c r="K149" s="3"/>
      <c r="L149" s="3"/>
    </row>
    <row r="150" spans="1:15" x14ac:dyDescent="0.25">
      <c r="A150" s="2" t="s">
        <v>150</v>
      </c>
      <c r="B150" s="8">
        <v>1772</v>
      </c>
      <c r="C150" s="34">
        <f t="shared" si="4"/>
        <v>14.785553047404063</v>
      </c>
      <c r="D150" s="10">
        <v>2.1289999131113291E-4</v>
      </c>
      <c r="E150" s="8">
        <v>1992</v>
      </c>
      <c r="F150" s="34">
        <f t="shared" si="5"/>
        <v>31.920529801324506</v>
      </c>
      <c r="G150" s="10">
        <v>7.0759998925495893E-4</v>
      </c>
      <c r="H150" s="23">
        <v>1510</v>
      </c>
      <c r="I150" s="23">
        <v>0</v>
      </c>
      <c r="J150" s="23">
        <v>5.66</v>
      </c>
      <c r="K150" s="6"/>
      <c r="L150" s="3"/>
    </row>
  </sheetData>
  <autoFilter ref="A1:A150" xr:uid="{00000000-0001-0000-0000-000000000000}"/>
  <mergeCells count="4">
    <mergeCell ref="B1:D1"/>
    <mergeCell ref="E1:G1"/>
    <mergeCell ref="H1:K1"/>
    <mergeCell ref="M1:P1"/>
  </mergeCells>
  <conditionalFormatting sqref="C3:C150">
    <cfRule type="expression" dxfId="1" priority="2">
      <formula>C3=MIN($C3,$F3)</formula>
    </cfRule>
  </conditionalFormatting>
  <conditionalFormatting sqref="F3:F150">
    <cfRule type="expression" dxfId="0" priority="1">
      <formula>F3=MIN($C3,$F3)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2D75-12FD-4910-A0A1-21B3CEE7A803}">
  <dimension ref="F2:H22"/>
  <sheetViews>
    <sheetView tabSelected="1" workbookViewId="0">
      <selection activeCell="J8" sqref="J8"/>
    </sheetView>
  </sheetViews>
  <sheetFormatPr defaultRowHeight="15" x14ac:dyDescent="0.25"/>
  <cols>
    <col min="6" max="6" width="13.85546875" customWidth="1"/>
    <col min="7" max="7" width="35.5703125" customWidth="1"/>
    <col min="8" max="8" width="33.28515625" customWidth="1"/>
  </cols>
  <sheetData>
    <row r="2" spans="6:8" x14ac:dyDescent="0.25">
      <c r="F2" s="44"/>
      <c r="G2" s="40" t="s">
        <v>160</v>
      </c>
      <c r="H2" s="41"/>
    </row>
    <row r="3" spans="6:8" x14ac:dyDescent="0.25">
      <c r="F3" s="43" t="s">
        <v>159</v>
      </c>
      <c r="G3" s="25" t="s">
        <v>152</v>
      </c>
      <c r="H3" s="26" t="s">
        <v>153</v>
      </c>
    </row>
    <row r="4" spans="6:8" x14ac:dyDescent="0.25">
      <c r="F4" s="3" t="s">
        <v>161</v>
      </c>
      <c r="G4" s="45">
        <f>AVERAGE(Resultados_Construtivas!C3:C34)</f>
        <v>17.583499581435145</v>
      </c>
      <c r="H4" s="9">
        <f>AVERAGE(Resultados_Construtivas!F3:F34)</f>
        <v>17.084622912939587</v>
      </c>
    </row>
    <row r="5" spans="6:8" x14ac:dyDescent="0.25">
      <c r="F5" s="3" t="s">
        <v>162</v>
      </c>
      <c r="G5" s="33">
        <f>AVERAGE(Resultados_Construtivas!C35:C46)</f>
        <v>19.975764930542727</v>
      </c>
      <c r="H5" s="9">
        <f>AVERAGE(Resultados_Construtivas!F35:F46)</f>
        <v>18.953114134726199</v>
      </c>
    </row>
    <row r="6" spans="6:8" x14ac:dyDescent="0.25">
      <c r="F6" s="3" t="s">
        <v>163</v>
      </c>
      <c r="G6" s="33">
        <f>AVERAGE(Resultados_Construtivas!C47:C58)</f>
        <v>19.923057685644704</v>
      </c>
      <c r="H6" s="9">
        <f>AVERAGE(Resultados_Construtivas!F47:F58)</f>
        <v>15.092046624279718</v>
      </c>
    </row>
    <row r="7" spans="6:8" x14ac:dyDescent="0.25">
      <c r="F7" s="3" t="s">
        <v>164</v>
      </c>
      <c r="G7" s="33">
        <f>AVERAGE(Resultados_Construtivas!C59:C70)</f>
        <v>21.156083184327983</v>
      </c>
      <c r="H7" s="9">
        <f>AVERAGE(Resultados_Construtivas!F59:F70)</f>
        <v>16.50092348929342</v>
      </c>
    </row>
    <row r="8" spans="6:8" x14ac:dyDescent="0.25">
      <c r="F8" s="3" t="s">
        <v>165</v>
      </c>
      <c r="G8" s="33">
        <f>AVERAGE(Resultados_Construtivas!C71:C82)</f>
        <v>19.72586880791744</v>
      </c>
      <c r="H8" s="9">
        <f>AVERAGE(Resultados_Construtivas!F71:F82)</f>
        <v>13.373788498282137</v>
      </c>
    </row>
    <row r="9" spans="6:8" x14ac:dyDescent="0.25">
      <c r="F9" s="3" t="s">
        <v>166</v>
      </c>
      <c r="G9" s="33">
        <f>AVERAGE(Resultados_Construtivas!C83:C94)</f>
        <v>19.621835620056263</v>
      </c>
      <c r="H9" s="9">
        <f>AVERAGE(Resultados_Construtivas!F83:F94)</f>
        <v>18.762096079119313</v>
      </c>
    </row>
    <row r="10" spans="6:8" x14ac:dyDescent="0.25">
      <c r="F10" s="3" t="s">
        <v>167</v>
      </c>
      <c r="G10" s="33">
        <f>AVERAGE(Resultados_Construtivas!C95:C106)</f>
        <v>20.504838814008199</v>
      </c>
      <c r="H10" s="9">
        <f>AVERAGE(Resultados_Construtivas!F95:F106)</f>
        <v>15.986970895057036</v>
      </c>
    </row>
    <row r="11" spans="6:8" x14ac:dyDescent="0.25">
      <c r="F11" s="3" t="s">
        <v>168</v>
      </c>
      <c r="G11" s="33">
        <f>AVERAGE(Resultados_Construtivas!C107:C118)</f>
        <v>17.630520654875607</v>
      </c>
      <c r="H11" s="9">
        <f>AVERAGE(Resultados_Construtivas!F107:F118)</f>
        <v>16.268028105456008</v>
      </c>
    </row>
    <row r="12" spans="6:8" x14ac:dyDescent="0.25">
      <c r="F12" s="42" t="s">
        <v>169</v>
      </c>
      <c r="G12" s="34">
        <f>AVERAGE(Resultados_Construtivas!C119:C150)</f>
        <v>16.803949462552122</v>
      </c>
      <c r="H12" s="10">
        <f>AVERAGE(Resultados_Construtivas!F119:F150)</f>
        <v>15.775038070320145</v>
      </c>
    </row>
    <row r="22" spans="7:7" x14ac:dyDescent="0.25">
      <c r="G22" s="35"/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Resultados_Construtivas</vt:lpstr>
      <vt:lpstr>Média das 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Gonçalves Assumpção</cp:lastModifiedBy>
  <dcterms:created xsi:type="dcterms:W3CDTF">2026-07-22T03:12:41Z</dcterms:created>
  <dcterms:modified xsi:type="dcterms:W3CDTF">2026-09-03T17:35:00Z</dcterms:modified>
</cp:coreProperties>
</file>