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eurísticas para o PCVC-d\"/>
    </mc:Choice>
  </mc:AlternateContent>
  <xr:revisionPtr revIDLastSave="0" documentId="13_ncr:1_{27D97F0F-653C-490B-B730-43E444688B2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ltados_ILS" sheetId="1" r:id="rId1"/>
    <sheet name="Média das dif ILS" sheetId="2" r:id="rId2"/>
  </sheets>
  <definedNames>
    <definedName name="_xlnm._FilterDatabase" localSheetId="0" hidden="1">Resultados_ILS!$A$1:$A$150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t2zx2uFv7v5Ccg/zn+Ift9GSvfcavgyLSE9SPauAJI="/>
    </ext>
  </extLst>
</workbook>
</file>

<file path=xl/calcChain.xml><?xml version="1.0" encoding="utf-8"?>
<calcChain xmlns="http://schemas.openxmlformats.org/spreadsheetml/2006/main">
  <c r="F150" i="1" l="1"/>
  <c r="C150" i="1"/>
  <c r="F149" i="1"/>
  <c r="C149" i="1"/>
  <c r="F148" i="1"/>
  <c r="C148" i="1"/>
  <c r="F147" i="1"/>
  <c r="C147" i="1"/>
  <c r="F146" i="1"/>
  <c r="C146" i="1"/>
  <c r="F145" i="1"/>
  <c r="C145" i="1"/>
  <c r="F144" i="1"/>
  <c r="C144" i="1"/>
  <c r="F143" i="1"/>
  <c r="C143" i="1"/>
  <c r="F142" i="1"/>
  <c r="C142" i="1"/>
  <c r="F141" i="1"/>
  <c r="C141" i="1"/>
  <c r="F140" i="1"/>
  <c r="C140" i="1"/>
  <c r="F139" i="1"/>
  <c r="C139" i="1"/>
  <c r="F138" i="1"/>
  <c r="C138" i="1"/>
  <c r="F137" i="1"/>
  <c r="C137" i="1"/>
  <c r="F136" i="1"/>
  <c r="C136" i="1"/>
  <c r="F135" i="1"/>
  <c r="C135" i="1"/>
  <c r="F134" i="1"/>
  <c r="C134" i="1"/>
  <c r="F133" i="1"/>
  <c r="C133" i="1"/>
  <c r="F132" i="1"/>
  <c r="C132" i="1"/>
  <c r="F131" i="1"/>
  <c r="C131" i="1"/>
  <c r="F130" i="1"/>
  <c r="C130" i="1"/>
  <c r="F129" i="1"/>
  <c r="C129" i="1"/>
  <c r="F128" i="1"/>
  <c r="C128" i="1"/>
  <c r="F127" i="1"/>
  <c r="C127" i="1"/>
  <c r="F126" i="1"/>
  <c r="C126" i="1"/>
  <c r="F125" i="1"/>
  <c r="C125" i="1"/>
  <c r="F124" i="1"/>
  <c r="C124" i="1"/>
  <c r="F123" i="1"/>
  <c r="C123" i="1"/>
  <c r="F122" i="1"/>
  <c r="C122" i="1"/>
  <c r="F121" i="1"/>
  <c r="C121" i="1"/>
  <c r="F120" i="1"/>
  <c r="C120" i="1"/>
  <c r="F119" i="1"/>
  <c r="J16" i="2" s="1"/>
  <c r="C119" i="1"/>
  <c r="I16" i="2" s="1"/>
  <c r="F118" i="1"/>
  <c r="C118" i="1"/>
  <c r="F117" i="1"/>
  <c r="C117" i="1"/>
  <c r="F116" i="1"/>
  <c r="C116" i="1"/>
  <c r="F115" i="1"/>
  <c r="C115" i="1"/>
  <c r="F114" i="1"/>
  <c r="C114" i="1"/>
  <c r="F113" i="1"/>
  <c r="C113" i="1"/>
  <c r="F112" i="1"/>
  <c r="C112" i="1"/>
  <c r="F111" i="1"/>
  <c r="C111" i="1"/>
  <c r="F110" i="1"/>
  <c r="C110" i="1"/>
  <c r="F109" i="1"/>
  <c r="C109" i="1"/>
  <c r="F108" i="1"/>
  <c r="C108" i="1"/>
  <c r="F107" i="1"/>
  <c r="J15" i="2" s="1"/>
  <c r="C107" i="1"/>
  <c r="I15" i="2" s="1"/>
  <c r="F106" i="1"/>
  <c r="C106" i="1"/>
  <c r="F105" i="1"/>
  <c r="C105" i="1"/>
  <c r="F104" i="1"/>
  <c r="C104" i="1"/>
  <c r="F103" i="1"/>
  <c r="C103" i="1"/>
  <c r="F102" i="1"/>
  <c r="C102" i="1"/>
  <c r="F101" i="1"/>
  <c r="C101" i="1"/>
  <c r="F100" i="1"/>
  <c r="C100" i="1"/>
  <c r="F99" i="1"/>
  <c r="C99" i="1"/>
  <c r="F98" i="1"/>
  <c r="C98" i="1"/>
  <c r="F97" i="1"/>
  <c r="C97" i="1"/>
  <c r="F96" i="1"/>
  <c r="C96" i="1"/>
  <c r="F95" i="1"/>
  <c r="J14" i="2" s="1"/>
  <c r="C95" i="1"/>
  <c r="I14" i="2" s="1"/>
  <c r="F94" i="1"/>
  <c r="C94" i="1"/>
  <c r="F93" i="1"/>
  <c r="C93" i="1"/>
  <c r="F92" i="1"/>
  <c r="C92" i="1"/>
  <c r="F91" i="1"/>
  <c r="C91" i="1"/>
  <c r="F90" i="1"/>
  <c r="C90" i="1"/>
  <c r="F89" i="1"/>
  <c r="C89" i="1"/>
  <c r="F88" i="1"/>
  <c r="C88" i="1"/>
  <c r="F87" i="1"/>
  <c r="C87" i="1"/>
  <c r="F86" i="1"/>
  <c r="C86" i="1"/>
  <c r="F85" i="1"/>
  <c r="C85" i="1"/>
  <c r="F84" i="1"/>
  <c r="C84" i="1"/>
  <c r="F83" i="1"/>
  <c r="J13" i="2" s="1"/>
  <c r="C83" i="1"/>
  <c r="I13" i="2" s="1"/>
  <c r="F82" i="1"/>
  <c r="C82" i="1"/>
  <c r="F81" i="1"/>
  <c r="C81" i="1"/>
  <c r="F80" i="1"/>
  <c r="C80" i="1"/>
  <c r="F79" i="1"/>
  <c r="C79" i="1"/>
  <c r="F78" i="1"/>
  <c r="C78" i="1"/>
  <c r="F77" i="1"/>
  <c r="C77" i="1"/>
  <c r="F76" i="1"/>
  <c r="C76" i="1"/>
  <c r="F75" i="1"/>
  <c r="C75" i="1"/>
  <c r="F74" i="1"/>
  <c r="C74" i="1"/>
  <c r="F73" i="1"/>
  <c r="C73" i="1"/>
  <c r="F72" i="1"/>
  <c r="C72" i="1"/>
  <c r="F71" i="1"/>
  <c r="J12" i="2" s="1"/>
  <c r="C71" i="1"/>
  <c r="I12" i="2" s="1"/>
  <c r="F70" i="1"/>
  <c r="C70" i="1"/>
  <c r="F69" i="1"/>
  <c r="C69" i="1"/>
  <c r="F68" i="1"/>
  <c r="C68" i="1"/>
  <c r="F67" i="1"/>
  <c r="C67" i="1"/>
  <c r="F66" i="1"/>
  <c r="C66" i="1"/>
  <c r="F65" i="1"/>
  <c r="C65" i="1"/>
  <c r="F64" i="1"/>
  <c r="C64" i="1"/>
  <c r="F63" i="1"/>
  <c r="C63" i="1"/>
  <c r="F62" i="1"/>
  <c r="C62" i="1"/>
  <c r="F61" i="1"/>
  <c r="C61" i="1"/>
  <c r="F60" i="1"/>
  <c r="C60" i="1"/>
  <c r="F59" i="1"/>
  <c r="J11" i="2" s="1"/>
  <c r="C59" i="1"/>
  <c r="I11" i="2" s="1"/>
  <c r="F58" i="1"/>
  <c r="C58" i="1"/>
  <c r="F57" i="1"/>
  <c r="C57" i="1"/>
  <c r="F56" i="1"/>
  <c r="C56" i="1"/>
  <c r="F55" i="1"/>
  <c r="C55" i="1"/>
  <c r="F54" i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J10" i="2" s="1"/>
  <c r="C47" i="1"/>
  <c r="I10" i="2" s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J9" i="2" s="1"/>
  <c r="C35" i="1"/>
  <c r="I9" i="2" s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J8" i="2" s="1"/>
  <c r="C3" i="1"/>
  <c r="I8" i="2" s="1"/>
</calcChain>
</file>

<file path=xl/sharedStrings.xml><?xml version="1.0" encoding="utf-8"?>
<sst xmlns="http://schemas.openxmlformats.org/spreadsheetml/2006/main" count="175" uniqueCount="171">
  <si>
    <t>Vizinho mais próximo d-relaxada com ILS</t>
  </si>
  <si>
    <t>Instance</t>
  </si>
  <si>
    <t>Inserção d-relaxada com ILS</t>
  </si>
  <si>
    <t>Vizinho mais próximo d-relaxado com ILS</t>
  </si>
  <si>
    <t>GILS-RVND</t>
  </si>
  <si>
    <t>Solution</t>
  </si>
  <si>
    <t>berlin52</t>
  </si>
  <si>
    <t>Dif(%)</t>
  </si>
  <si>
    <t>Time</t>
  </si>
  <si>
    <t>Best</t>
  </si>
  <si>
    <t>Gapav</t>
  </si>
  <si>
    <t>Timeav</t>
  </si>
  <si>
    <t>Solav</t>
  </si>
  <si>
    <t>berlin52-C-1-0-a</t>
  </si>
  <si>
    <t>kroA100</t>
  </si>
  <si>
    <t>kroA200</t>
  </si>
  <si>
    <t>berlin52-C-3-0-a</t>
  </si>
  <si>
    <t>kroB100</t>
  </si>
  <si>
    <t>kroB200</t>
  </si>
  <si>
    <t>berlin52-C-3-0-b</t>
  </si>
  <si>
    <t>kroC100</t>
  </si>
  <si>
    <t>berlin52-C-3-0-c</t>
  </si>
  <si>
    <t>kroD100</t>
  </si>
  <si>
    <t>berlin52-C-3-1-a</t>
  </si>
  <si>
    <t>kroE100</t>
  </si>
  <si>
    <t>berlin52-C-3-1-b</t>
  </si>
  <si>
    <t>swiss42</t>
  </si>
  <si>
    <t>berlin52-C-3-1-c</t>
  </si>
  <si>
    <t>berlin52-C-5-0-a</t>
  </si>
  <si>
    <t>berlin52-C-5-0-b</t>
  </si>
  <si>
    <t>berlin52-C-5-0-c</t>
  </si>
  <si>
    <t>berlin52-C-5-1-a</t>
  </si>
  <si>
    <t>berlin52-C-5-1-b</t>
  </si>
  <si>
    <t>berlin52-C-5-1-c</t>
  </si>
  <si>
    <t>berlin52-C-5-3-a</t>
  </si>
  <si>
    <t>berlin52-C-5-3-b</t>
  </si>
  <si>
    <t>berlin52-C-5-3-c</t>
  </si>
  <si>
    <t>berlin52-R-1-0-a</t>
  </si>
  <si>
    <t>berlin52-R-3-0-a</t>
  </si>
  <si>
    <t>berlin52-R-3-0-b</t>
  </si>
  <si>
    <t>berlin52-R-3-0-c</t>
  </si>
  <si>
    <t>berlin52-R-3-1-a</t>
  </si>
  <si>
    <t>berlin52-R-3-1-b</t>
  </si>
  <si>
    <t>berlin52-R-3-1-c</t>
  </si>
  <si>
    <t>berlin52-R-5-0-a</t>
  </si>
  <si>
    <t>berlin52-R-5-0-b</t>
  </si>
  <si>
    <t>berlin52-R-5-0-c</t>
  </si>
  <si>
    <t>berlin52-R-5-1-a</t>
  </si>
  <si>
    <t>berlin52-R-5-1-b</t>
  </si>
  <si>
    <t>berlin52-R-5-1-c</t>
  </si>
  <si>
    <t>berlin52-R-5-3-a</t>
  </si>
  <si>
    <t>berlin52-R-5-3-b</t>
  </si>
  <si>
    <t>berlin52-R-5-3-c</t>
  </si>
  <si>
    <t>kroA100-C-1-0-a</t>
  </si>
  <si>
    <t>kroA100-C-3-0-a</t>
  </si>
  <si>
    <t>kroA100-C-3-1-a</t>
  </si>
  <si>
    <t>kroA100-C-5-0-a</t>
  </si>
  <si>
    <t>kroA100-C-5-1-a</t>
  </si>
  <si>
    <t>kroA100-C-5-3-a</t>
  </si>
  <si>
    <t>kroA100-R-1-0-a</t>
  </si>
  <si>
    <t>kroA100-R-3-0-a</t>
  </si>
  <si>
    <t>kroA100-R-3-1-a</t>
  </si>
  <si>
    <t>kroA100-R-5-0-a</t>
  </si>
  <si>
    <t>kroA100-R-5-1-a</t>
  </si>
  <si>
    <t>kroA100-R-5-3-a</t>
  </si>
  <si>
    <t>kroA200-C-1-0-a</t>
  </si>
  <si>
    <t>kroA200-C-3-0-a</t>
  </si>
  <si>
    <t>kroA200-C-3-1-a</t>
  </si>
  <si>
    <t>kroA200-C-5-0-a</t>
  </si>
  <si>
    <t>kroA200-C-5-1-a</t>
  </si>
  <si>
    <t>kroA200-C-5-3-a</t>
  </si>
  <si>
    <t>kroA200-R-1-0-a</t>
  </si>
  <si>
    <t>kroA200-R-3-0-a</t>
  </si>
  <si>
    <t>kroA200-R-3-1-a</t>
  </si>
  <si>
    <t>kroA200-R-5-0-a</t>
  </si>
  <si>
    <t>kroA200-R-5-1-a</t>
  </si>
  <si>
    <t>kroA200-R-5-3-a</t>
  </si>
  <si>
    <t>kroB100-C-1-0-a</t>
  </si>
  <si>
    <t>kroB100-C-3-0-a</t>
  </si>
  <si>
    <t>kroB100-C-3-1-a</t>
  </si>
  <si>
    <t>kroB100-C-5-0-a</t>
  </si>
  <si>
    <t>kroB100-C-5-1-a</t>
  </si>
  <si>
    <t>kroB100-C-5-3-a</t>
  </si>
  <si>
    <t>kroB100-R-1-0-a</t>
  </si>
  <si>
    <t>kroB100-R-3-0-a</t>
  </si>
  <si>
    <t>kroB100-R-3-1-a</t>
  </si>
  <si>
    <t>kroB100-R-5-0-a</t>
  </si>
  <si>
    <t>kroB100-R-5-1-a</t>
  </si>
  <si>
    <t>kroB100-R-5-3-a</t>
  </si>
  <si>
    <t>kroB200-C-1-0-a</t>
  </si>
  <si>
    <t>kroB200-C-3-0-a</t>
  </si>
  <si>
    <t>kroB200-C-3-1-a</t>
  </si>
  <si>
    <t>kroB200-C-5-0-a</t>
  </si>
  <si>
    <t>kroB200-C-5-1-a</t>
  </si>
  <si>
    <t>kroB200-C-5-3-a</t>
  </si>
  <si>
    <t>kroB200-R-1-0-a</t>
  </si>
  <si>
    <t>kroB200-R-3-0-a</t>
  </si>
  <si>
    <t>kroB200-R-3-1-a</t>
  </si>
  <si>
    <t>kroB200-R-5-0-a</t>
  </si>
  <si>
    <t>kroB200-R-5-1-a</t>
  </si>
  <si>
    <t>kroB200-R-5-3-a</t>
  </si>
  <si>
    <t>kroC100-C-1-0-a</t>
  </si>
  <si>
    <t>kroC100-C-3-0-a</t>
  </si>
  <si>
    <t>kroC100-C-3-1-a</t>
  </si>
  <si>
    <t>kroC100-C-5-0-a</t>
  </si>
  <si>
    <t>kroC100-C-5-1-a</t>
  </si>
  <si>
    <t>kroC100-C-5-3-a</t>
  </si>
  <si>
    <t>kroC100-R-1-0-a</t>
  </si>
  <si>
    <t>kroC100-R-3-0-a</t>
  </si>
  <si>
    <t>kroC100-R-3-1-a</t>
  </si>
  <si>
    <t>kroC100-R-5-0-a</t>
  </si>
  <si>
    <t>kroC100-R-5-1-a</t>
  </si>
  <si>
    <t>kroC100-R-5-3-a</t>
  </si>
  <si>
    <t>kroD100-C-1-0-a</t>
  </si>
  <si>
    <t>kroD100-C-3-0-a</t>
  </si>
  <si>
    <t>kroD100-C-3-1-a</t>
  </si>
  <si>
    <t>kroD100-C-5-0-a</t>
  </si>
  <si>
    <t>kroD100-C-5-1-a</t>
  </si>
  <si>
    <t>kroD100-C-5-3-a</t>
  </si>
  <si>
    <t>kroD100-R-1-0-a</t>
  </si>
  <si>
    <t>kroD100-R-3-0-a</t>
  </si>
  <si>
    <t>kroD100-R-3-1-a</t>
  </si>
  <si>
    <t>kroD100-R-5-0-a</t>
  </si>
  <si>
    <t>kroD100-R-5-1-a</t>
  </si>
  <si>
    <t>kroD100-R-5-3-a</t>
  </si>
  <si>
    <t>kroE100-C-1-0-a</t>
  </si>
  <si>
    <t>kroE100-C-3-0-a</t>
  </si>
  <si>
    <t>kroE100-C-3-1-a</t>
  </si>
  <si>
    <t>kroE100-C-5-0-a</t>
  </si>
  <si>
    <t>kroE100-C-5-1-a</t>
  </si>
  <si>
    <t>kroE100-C-5-3-a</t>
  </si>
  <si>
    <t>kroE100-R-1-0-a</t>
  </si>
  <si>
    <t>kroE100-R-3-0-a</t>
  </si>
  <si>
    <t>kroE100-R-3-1-a</t>
  </si>
  <si>
    <t>kroE100-R-5-0-a</t>
  </si>
  <si>
    <t>kroE100-R-5-1-a</t>
  </si>
  <si>
    <t>kroE100-R-5-3-a</t>
  </si>
  <si>
    <t>swiss42-C-1-0-a</t>
  </si>
  <si>
    <t>swiss42-C-3-0-a</t>
  </si>
  <si>
    <t>swiss42-C-3-0-b</t>
  </si>
  <si>
    <t>swiss42-C-3-0-c</t>
  </si>
  <si>
    <t>swiss42-C-3-1-a</t>
  </si>
  <si>
    <t>swiss42-C-3-1-b</t>
  </si>
  <si>
    <t>swiss42-C-3-1-c</t>
  </si>
  <si>
    <t>swiss42-C-5-0-a</t>
  </si>
  <si>
    <t>swiss42-C-5-0-b</t>
  </si>
  <si>
    <t>swiss42-C-5-0-c</t>
  </si>
  <si>
    <t>swiss42-C-5-1-a</t>
  </si>
  <si>
    <t>swiss42-C-5-1-b</t>
  </si>
  <si>
    <t>swiss42-C-5-1-c</t>
  </si>
  <si>
    <t>swiss42-C-5-3-a</t>
  </si>
  <si>
    <t>swiss42-C-5-3-b</t>
  </si>
  <si>
    <t>swiss42-C-5-3-c</t>
  </si>
  <si>
    <t>swiss42-R-1-0-a</t>
  </si>
  <si>
    <t>swiss42-R-3-0-a</t>
  </si>
  <si>
    <t>swiss42-R-3-0-b</t>
  </si>
  <si>
    <t>swiss42-R-3-0-c</t>
  </si>
  <si>
    <t>swiss42-R-3-1-a</t>
  </si>
  <si>
    <t>swiss42-R-3-1-b</t>
  </si>
  <si>
    <t>swiss42-R-3-1-c</t>
  </si>
  <si>
    <t>swiss42-R-5-0-a</t>
  </si>
  <si>
    <t>swiss42-R-5-0-b</t>
  </si>
  <si>
    <t>swiss42-R-5-0-c</t>
  </si>
  <si>
    <t>swiss42-R-5-1-a</t>
  </si>
  <si>
    <t>swiss42-R-5-1-b</t>
  </si>
  <si>
    <t>swiss42-R-5-1-c</t>
  </si>
  <si>
    <t>swiss42-R-5-3-a</t>
  </si>
  <si>
    <t>swiss42-R-5-3-b</t>
  </si>
  <si>
    <t>swiss42-R-5-3-c</t>
  </si>
  <si>
    <r>
      <t xml:space="preserve">Média das </t>
    </r>
    <r>
      <rPr>
        <i/>
        <sz val="11"/>
        <color theme="1"/>
        <rFont val="Calibri"/>
        <family val="2"/>
      </rPr>
      <t xml:space="preserve">Dif </t>
    </r>
    <r>
      <rPr>
        <sz val="11"/>
        <color theme="1"/>
        <rFont val="Calibri"/>
        <family val="2"/>
      </rPr>
      <t>(%)</t>
    </r>
  </si>
  <si>
    <t>Instâncias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</si>
</sst>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" fontId="2" fillId="0" borderId="8" xfId="0" applyNumberFormat="1" applyFont="1" applyBorder="1"/>
    <xf numFmtId="4" fontId="2" fillId="0" borderId="0" xfId="0" applyNumberFormat="1" applyFont="1"/>
    <xf numFmtId="4" fontId="2" fillId="0" borderId="9" xfId="0" applyNumberFormat="1" applyFont="1" applyBorder="1"/>
    <xf numFmtId="4" fontId="2" fillId="0" borderId="10" xfId="0" applyNumberFormat="1" applyFont="1" applyBorder="1"/>
    <xf numFmtId="4" fontId="2" fillId="0" borderId="8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8" xfId="0" applyFont="1" applyBorder="1"/>
    <xf numFmtId="4" fontId="2" fillId="0" borderId="10" xfId="0" applyNumberFormat="1" applyFont="1" applyBorder="1" applyAlignment="1">
      <alignment horizontal="center"/>
    </xf>
    <xf numFmtId="0" fontId="2" fillId="0" borderId="10" xfId="0" applyFont="1" applyBorder="1"/>
    <xf numFmtId="4" fontId="2" fillId="0" borderId="11" xfId="0" applyNumberFormat="1" applyFont="1" applyBorder="1"/>
    <xf numFmtId="4" fontId="2" fillId="0" borderId="1" xfId="0" applyNumberFormat="1" applyFont="1" applyBorder="1"/>
    <xf numFmtId="4" fontId="2" fillId="0" borderId="10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4" xfId="0" applyFont="1" applyBorder="1"/>
    <xf numFmtId="4" fontId="2" fillId="0" borderId="4" xfId="0" applyNumberFormat="1" applyFont="1" applyBorder="1"/>
    <xf numFmtId="4" fontId="2" fillId="0" borderId="11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3" fillId="0" borderId="5" xfId="0" applyFont="1" applyBorder="1"/>
    <xf numFmtId="0" fontId="2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4" fillId="0" borderId="3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2">
    <dxf>
      <fill>
        <patternFill patternType="solid">
          <fgColor rgb="FFD6E3BC"/>
          <bgColor rgb="FFD6E3BC"/>
        </patternFill>
      </fill>
    </dxf>
    <dxf>
      <fill>
        <patternFill patternType="solid">
          <fgColor rgb="FFD6E3BC"/>
          <bgColor rgb="FFD6E3B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D5" sqref="D5"/>
    </sheetView>
  </sheetViews>
  <sheetFormatPr defaultColWidth="14.42578125" defaultRowHeight="15" customHeight="1" x14ac:dyDescent="0.25"/>
  <cols>
    <col min="1" max="1" width="21.85546875" customWidth="1"/>
    <col min="2" max="3" width="23.7109375" customWidth="1"/>
    <col min="4" max="4" width="22" customWidth="1"/>
    <col min="5" max="6" width="20.7109375" customWidth="1"/>
    <col min="7" max="8" width="15.28515625" customWidth="1"/>
    <col min="9" max="9" width="12" customWidth="1"/>
    <col min="10" max="10" width="20" customWidth="1"/>
    <col min="11" max="11" width="11.140625" customWidth="1"/>
    <col min="12" max="26" width="8.7109375" customWidth="1"/>
  </cols>
  <sheetData>
    <row r="1" spans="1:11" x14ac:dyDescent="0.25">
      <c r="A1" s="1"/>
      <c r="B1" s="29" t="s">
        <v>0</v>
      </c>
      <c r="C1" s="30"/>
      <c r="D1" s="31"/>
      <c r="E1" s="32" t="s">
        <v>2</v>
      </c>
      <c r="F1" s="33"/>
      <c r="G1" s="33"/>
      <c r="H1" s="29" t="s">
        <v>4</v>
      </c>
      <c r="I1" s="30"/>
      <c r="J1" s="30"/>
      <c r="K1" s="31"/>
    </row>
    <row r="2" spans="1:11" x14ac:dyDescent="0.25">
      <c r="A2" s="2" t="s">
        <v>1</v>
      </c>
      <c r="B2" s="2" t="s">
        <v>5</v>
      </c>
      <c r="C2" s="2" t="s">
        <v>7</v>
      </c>
      <c r="D2" s="2" t="s">
        <v>8</v>
      </c>
      <c r="E2" s="2" t="s">
        <v>5</v>
      </c>
      <c r="F2" s="4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</row>
    <row r="3" spans="1:11" x14ac:dyDescent="0.25">
      <c r="A3" s="1" t="s">
        <v>13</v>
      </c>
      <c r="B3" s="5">
        <v>8321</v>
      </c>
      <c r="C3" s="6">
        <f t="shared" ref="C3:C150" si="0">((B3 -H3)/B3 * 100)</f>
        <v>9.3618555462083872</v>
      </c>
      <c r="D3" s="5">
        <v>2.4446013999986458</v>
      </c>
      <c r="E3" s="6">
        <v>7862</v>
      </c>
      <c r="F3" s="5">
        <f t="shared" ref="F3:F150" si="1">((E3 -H3)/E3 * 100)</f>
        <v>4.0702111422030018</v>
      </c>
      <c r="G3" s="6">
        <v>3.4890072999987751</v>
      </c>
      <c r="H3" s="9">
        <v>7542</v>
      </c>
      <c r="I3" s="10">
        <v>0</v>
      </c>
      <c r="J3" s="9">
        <v>7.86</v>
      </c>
      <c r="K3" s="11"/>
    </row>
    <row r="4" spans="1:11" x14ac:dyDescent="0.25">
      <c r="A4" s="1" t="s">
        <v>16</v>
      </c>
      <c r="B4" s="8">
        <v>8442</v>
      </c>
      <c r="C4" s="6">
        <f t="shared" si="0"/>
        <v>3.5299692016109927</v>
      </c>
      <c r="D4" s="8">
        <v>1.974474999995437</v>
      </c>
      <c r="E4" s="6">
        <v>8287</v>
      </c>
      <c r="F4" s="8">
        <f t="shared" si="1"/>
        <v>1.7255943043320863</v>
      </c>
      <c r="G4" s="6">
        <v>1.729334700008621</v>
      </c>
      <c r="H4" s="12">
        <v>8144</v>
      </c>
      <c r="I4" s="10">
        <v>0</v>
      </c>
      <c r="J4" s="12">
        <v>7.59</v>
      </c>
      <c r="K4" s="13"/>
    </row>
    <row r="5" spans="1:11" x14ac:dyDescent="0.25">
      <c r="A5" s="1" t="s">
        <v>19</v>
      </c>
      <c r="B5" s="8">
        <v>8016</v>
      </c>
      <c r="C5" s="6">
        <f t="shared" si="0"/>
        <v>0</v>
      </c>
      <c r="D5" s="8">
        <v>1.8023774999892339</v>
      </c>
      <c r="E5" s="6">
        <v>8559</v>
      </c>
      <c r="F5" s="8">
        <f t="shared" si="1"/>
        <v>6.3441990886785842</v>
      </c>
      <c r="G5" s="6">
        <v>1.730268399987835</v>
      </c>
      <c r="H5" s="12">
        <v>8016</v>
      </c>
      <c r="I5" s="10">
        <v>0</v>
      </c>
      <c r="J5" s="12">
        <v>5.96</v>
      </c>
      <c r="K5" s="13"/>
    </row>
    <row r="6" spans="1:11" x14ac:dyDescent="0.25">
      <c r="A6" s="1" t="s">
        <v>21</v>
      </c>
      <c r="B6" s="8">
        <v>9573</v>
      </c>
      <c r="C6" s="6">
        <f t="shared" si="0"/>
        <v>5.0976705317037503</v>
      </c>
      <c r="D6" s="8">
        <v>2.8274881000106689</v>
      </c>
      <c r="E6" s="6">
        <v>9490</v>
      </c>
      <c r="F6" s="8">
        <f t="shared" si="1"/>
        <v>4.2676501580611168</v>
      </c>
      <c r="G6" s="6">
        <v>2.4099470000073779</v>
      </c>
      <c r="H6" s="12">
        <v>9085</v>
      </c>
      <c r="I6" s="10">
        <v>7.0000000000000007E-2</v>
      </c>
      <c r="J6" s="12">
        <v>6.77</v>
      </c>
      <c r="K6" s="13"/>
    </row>
    <row r="7" spans="1:11" x14ac:dyDescent="0.25">
      <c r="A7" s="1" t="s">
        <v>23</v>
      </c>
      <c r="B7" s="8">
        <v>8621</v>
      </c>
      <c r="C7" s="6">
        <f t="shared" si="0"/>
        <v>7.7601206356571168</v>
      </c>
      <c r="D7" s="8">
        <v>3.148533799991128</v>
      </c>
      <c r="E7" s="6">
        <v>7959</v>
      </c>
      <c r="F7" s="8">
        <f t="shared" si="1"/>
        <v>8.7950747581354446E-2</v>
      </c>
      <c r="G7" s="6">
        <v>2.5222284000192299</v>
      </c>
      <c r="H7" s="12">
        <v>7952</v>
      </c>
      <c r="I7" s="10">
        <v>0</v>
      </c>
      <c r="J7" s="12">
        <v>8.61</v>
      </c>
      <c r="K7" s="13"/>
    </row>
    <row r="8" spans="1:11" x14ac:dyDescent="0.25">
      <c r="A8" s="1" t="s">
        <v>25</v>
      </c>
      <c r="B8" s="8">
        <v>9307</v>
      </c>
      <c r="C8" s="6">
        <f t="shared" si="0"/>
        <v>18.384012033952938</v>
      </c>
      <c r="D8" s="8">
        <v>2.438477899995632</v>
      </c>
      <c r="E8" s="6">
        <v>7862</v>
      </c>
      <c r="F8" s="8">
        <f t="shared" si="1"/>
        <v>3.3833630119562454</v>
      </c>
      <c r="G8" s="6">
        <v>2.7521194999862928</v>
      </c>
      <c r="H8" s="12">
        <v>7596</v>
      </c>
      <c r="I8" s="10">
        <v>0</v>
      </c>
      <c r="J8" s="12">
        <v>7.24</v>
      </c>
      <c r="K8" s="13"/>
    </row>
    <row r="9" spans="1:11" x14ac:dyDescent="0.25">
      <c r="A9" s="1" t="s">
        <v>27</v>
      </c>
      <c r="B9" s="8">
        <v>8463</v>
      </c>
      <c r="C9" s="6">
        <f t="shared" si="0"/>
        <v>5.6599314663830791</v>
      </c>
      <c r="D9" s="8">
        <v>2.601334200007841</v>
      </c>
      <c r="E9" s="6">
        <v>7990</v>
      </c>
      <c r="F9" s="8">
        <f t="shared" si="1"/>
        <v>7.5093867334167702E-2</v>
      </c>
      <c r="G9" s="6">
        <v>3.246425199991791</v>
      </c>
      <c r="H9" s="12">
        <v>7984</v>
      </c>
      <c r="I9" s="10">
        <v>0</v>
      </c>
      <c r="J9" s="12">
        <v>8.1999999999999993</v>
      </c>
      <c r="K9" s="13"/>
    </row>
    <row r="10" spans="1:11" x14ac:dyDescent="0.25">
      <c r="A10" s="1" t="s">
        <v>28</v>
      </c>
      <c r="B10" s="8">
        <v>9704</v>
      </c>
      <c r="C10" s="6">
        <f t="shared" si="0"/>
        <v>2.8235779060181367</v>
      </c>
      <c r="D10" s="8">
        <v>1.499820299999556</v>
      </c>
      <c r="E10" s="6">
        <v>9934</v>
      </c>
      <c r="F10" s="8">
        <f t="shared" si="1"/>
        <v>5.0734850010066435</v>
      </c>
      <c r="G10" s="6">
        <v>1.296220799995353</v>
      </c>
      <c r="H10" s="12">
        <v>9430</v>
      </c>
      <c r="I10" s="10">
        <v>0</v>
      </c>
      <c r="J10" s="12">
        <v>5.85</v>
      </c>
      <c r="K10" s="13"/>
    </row>
    <row r="11" spans="1:11" x14ac:dyDescent="0.25">
      <c r="A11" s="1" t="s">
        <v>29</v>
      </c>
      <c r="B11" s="8">
        <v>9170</v>
      </c>
      <c r="C11" s="6">
        <f t="shared" si="0"/>
        <v>5.4634678298800434</v>
      </c>
      <c r="D11" s="8">
        <v>1.962188700010302</v>
      </c>
      <c r="E11" s="6">
        <v>8669</v>
      </c>
      <c r="F11" s="8">
        <f t="shared" si="1"/>
        <v>0</v>
      </c>
      <c r="G11" s="6">
        <v>1.398706100007985</v>
      </c>
      <c r="H11" s="12">
        <v>8669</v>
      </c>
      <c r="I11" s="10">
        <v>0</v>
      </c>
      <c r="J11" s="12">
        <v>5.13</v>
      </c>
      <c r="K11" s="13"/>
    </row>
    <row r="12" spans="1:11" x14ac:dyDescent="0.25">
      <c r="A12" s="1" t="s">
        <v>30</v>
      </c>
      <c r="B12" s="8">
        <v>9949</v>
      </c>
      <c r="C12" s="6">
        <f t="shared" si="0"/>
        <v>2.9952759071263442</v>
      </c>
      <c r="D12" s="8">
        <v>1.219945100005134</v>
      </c>
      <c r="E12" s="6">
        <v>9764</v>
      </c>
      <c r="F12" s="8">
        <f t="shared" si="1"/>
        <v>1.1573125768127817</v>
      </c>
      <c r="G12" s="6">
        <v>1.538658300007228</v>
      </c>
      <c r="H12" s="12">
        <v>9651</v>
      </c>
      <c r="I12" s="10">
        <v>0</v>
      </c>
      <c r="J12" s="12">
        <v>5.69</v>
      </c>
      <c r="K12" s="13"/>
    </row>
    <row r="13" spans="1:11" x14ac:dyDescent="0.25">
      <c r="A13" s="1" t="s">
        <v>31</v>
      </c>
      <c r="B13" s="8">
        <v>10092</v>
      </c>
      <c r="C13" s="6">
        <f t="shared" si="0"/>
        <v>12.693222354340072</v>
      </c>
      <c r="D13" s="8">
        <v>1.98764759999176</v>
      </c>
      <c r="E13" s="6">
        <v>9521</v>
      </c>
      <c r="F13" s="8">
        <f t="shared" si="1"/>
        <v>7.4571998739628196</v>
      </c>
      <c r="G13" s="6">
        <v>2.610338800004683</v>
      </c>
      <c r="H13" s="12">
        <v>8811</v>
      </c>
      <c r="I13" s="10">
        <v>0.1</v>
      </c>
      <c r="J13" s="12">
        <v>7.15</v>
      </c>
      <c r="K13" s="13"/>
    </row>
    <row r="14" spans="1:11" x14ac:dyDescent="0.25">
      <c r="A14" s="1" t="s">
        <v>32</v>
      </c>
      <c r="B14" s="8">
        <v>8258</v>
      </c>
      <c r="C14" s="6">
        <f t="shared" si="0"/>
        <v>3.7539355776217005</v>
      </c>
      <c r="D14" s="8">
        <v>2.507404699994368</v>
      </c>
      <c r="E14" s="6">
        <v>8472</v>
      </c>
      <c r="F14" s="8">
        <f t="shared" si="1"/>
        <v>6.1850802644003782</v>
      </c>
      <c r="G14" s="6">
        <v>1.5520492999930871</v>
      </c>
      <c r="H14" s="12">
        <v>7948</v>
      </c>
      <c r="I14" s="10">
        <v>0</v>
      </c>
      <c r="J14" s="12">
        <v>6.51</v>
      </c>
      <c r="K14" s="13"/>
    </row>
    <row r="15" spans="1:11" x14ac:dyDescent="0.25">
      <c r="A15" s="1" t="s">
        <v>33</v>
      </c>
      <c r="B15" s="8">
        <v>8809</v>
      </c>
      <c r="C15" s="6">
        <f t="shared" si="0"/>
        <v>3.4056079010103302</v>
      </c>
      <c r="D15" s="8">
        <v>1.8424317000026349</v>
      </c>
      <c r="E15" s="6">
        <v>9515</v>
      </c>
      <c r="F15" s="8">
        <f t="shared" si="1"/>
        <v>10.572779821334736</v>
      </c>
      <c r="G15" s="6">
        <v>1.537086299998919</v>
      </c>
      <c r="H15" s="12">
        <v>8509</v>
      </c>
      <c r="I15" s="10">
        <v>0</v>
      </c>
      <c r="J15" s="12">
        <v>7.01</v>
      </c>
      <c r="K15" s="13"/>
    </row>
    <row r="16" spans="1:11" x14ac:dyDescent="0.25">
      <c r="A16" s="1" t="s">
        <v>34</v>
      </c>
      <c r="B16" s="8">
        <v>8364</v>
      </c>
      <c r="C16" s="6">
        <f t="shared" si="0"/>
        <v>5.4638928742228599</v>
      </c>
      <c r="D16" s="8">
        <v>2.854671099994448</v>
      </c>
      <c r="E16" s="6">
        <v>8587</v>
      </c>
      <c r="F16" s="8">
        <f t="shared" si="1"/>
        <v>7.9189472458367298</v>
      </c>
      <c r="G16" s="6">
        <v>3.0506451999826818</v>
      </c>
      <c r="H16" s="12">
        <v>7907</v>
      </c>
      <c r="I16" s="10">
        <v>0.48</v>
      </c>
      <c r="J16" s="12">
        <v>8.75</v>
      </c>
      <c r="K16" s="13"/>
    </row>
    <row r="17" spans="1:11" x14ac:dyDescent="0.25">
      <c r="A17" s="1" t="s">
        <v>35</v>
      </c>
      <c r="B17" s="8">
        <v>8296</v>
      </c>
      <c r="C17" s="6">
        <f t="shared" si="0"/>
        <v>8.2208293153326917</v>
      </c>
      <c r="D17" s="8">
        <v>3.2239463000005339</v>
      </c>
      <c r="E17" s="6">
        <v>7970</v>
      </c>
      <c r="F17" s="8">
        <f t="shared" si="1"/>
        <v>4.4667503136762861</v>
      </c>
      <c r="G17" s="6">
        <v>2.6230562999844551</v>
      </c>
      <c r="H17" s="12">
        <v>7614</v>
      </c>
      <c r="I17" s="10">
        <v>0</v>
      </c>
      <c r="J17" s="12">
        <v>7.11</v>
      </c>
      <c r="K17" s="13"/>
    </row>
    <row r="18" spans="1:11" x14ac:dyDescent="0.25">
      <c r="A18" s="1" t="s">
        <v>36</v>
      </c>
      <c r="B18" s="8">
        <v>8266</v>
      </c>
      <c r="C18" s="6">
        <f t="shared" si="0"/>
        <v>7.6820711347689334</v>
      </c>
      <c r="D18" s="8">
        <v>3.1699512000050158</v>
      </c>
      <c r="E18" s="6">
        <v>8362</v>
      </c>
      <c r="F18" s="8">
        <f t="shared" si="1"/>
        <v>8.741927768476442</v>
      </c>
      <c r="G18" s="6">
        <v>2.169036199979018</v>
      </c>
      <c r="H18" s="12">
        <v>7631</v>
      </c>
      <c r="I18" s="10">
        <v>0</v>
      </c>
      <c r="J18" s="12">
        <v>8.07</v>
      </c>
      <c r="K18" s="13"/>
    </row>
    <row r="19" spans="1:11" x14ac:dyDescent="0.25">
      <c r="A19" s="1" t="s">
        <v>37</v>
      </c>
      <c r="B19" s="8">
        <v>8281</v>
      </c>
      <c r="C19" s="6">
        <f t="shared" si="0"/>
        <v>8.9240429899770568</v>
      </c>
      <c r="D19" s="8">
        <v>3.9307503000018191</v>
      </c>
      <c r="E19" s="6">
        <v>7658</v>
      </c>
      <c r="F19" s="8">
        <f t="shared" si="1"/>
        <v>1.5147558109166883</v>
      </c>
      <c r="G19" s="6">
        <v>3.0960574999917299</v>
      </c>
      <c r="H19" s="16">
        <v>7542</v>
      </c>
      <c r="I19" s="17">
        <v>0</v>
      </c>
      <c r="J19" s="16">
        <v>7.69</v>
      </c>
      <c r="K19" s="13"/>
    </row>
    <row r="20" spans="1:11" x14ac:dyDescent="0.25">
      <c r="A20" s="1" t="s">
        <v>38</v>
      </c>
      <c r="B20" s="8">
        <v>13569</v>
      </c>
      <c r="C20" s="6">
        <f t="shared" si="0"/>
        <v>5.9252708379394203</v>
      </c>
      <c r="D20" s="8">
        <v>1.711378899999545</v>
      </c>
      <c r="E20" s="6">
        <v>13743</v>
      </c>
      <c r="F20" s="8">
        <f t="shared" si="1"/>
        <v>7.1163501418904165</v>
      </c>
      <c r="G20" s="6">
        <v>1.621140200004447</v>
      </c>
      <c r="H20" s="16">
        <v>12765</v>
      </c>
      <c r="I20" s="17">
        <v>0</v>
      </c>
      <c r="J20" s="16">
        <v>6.32</v>
      </c>
      <c r="K20" s="13"/>
    </row>
    <row r="21" spans="1:11" ht="15.75" customHeight="1" x14ac:dyDescent="0.25">
      <c r="A21" s="1" t="s">
        <v>39</v>
      </c>
      <c r="B21" s="8">
        <v>12896</v>
      </c>
      <c r="C21" s="6">
        <f t="shared" si="0"/>
        <v>1.7679900744416874</v>
      </c>
      <c r="D21" s="8">
        <v>1.9367200000124281</v>
      </c>
      <c r="E21" s="6">
        <v>14151</v>
      </c>
      <c r="F21" s="8">
        <f t="shared" si="1"/>
        <v>10.479824747367678</v>
      </c>
      <c r="G21" s="6">
        <v>1.5735131000110409</v>
      </c>
      <c r="H21" s="16">
        <v>12668</v>
      </c>
      <c r="I21" s="17">
        <v>0</v>
      </c>
      <c r="J21" s="16">
        <v>6.49</v>
      </c>
      <c r="K21" s="13"/>
    </row>
    <row r="22" spans="1:11" ht="15.75" customHeight="1" x14ac:dyDescent="0.25">
      <c r="A22" s="1" t="s">
        <v>40</v>
      </c>
      <c r="B22" s="8">
        <v>13773</v>
      </c>
      <c r="C22" s="6">
        <f t="shared" si="0"/>
        <v>9.3661511653234601</v>
      </c>
      <c r="D22" s="8">
        <v>1.4663165000092699</v>
      </c>
      <c r="E22" s="6">
        <v>14239</v>
      </c>
      <c r="F22" s="8">
        <f t="shared" si="1"/>
        <v>12.332326708336259</v>
      </c>
      <c r="G22" s="6">
        <v>1.027540500013856</v>
      </c>
      <c r="H22" s="16">
        <v>12483</v>
      </c>
      <c r="I22" s="17">
        <v>0</v>
      </c>
      <c r="J22" s="16">
        <v>6.37</v>
      </c>
      <c r="K22" s="13"/>
    </row>
    <row r="23" spans="1:11" ht="15.75" customHeight="1" x14ac:dyDescent="0.25">
      <c r="A23" s="1" t="s">
        <v>41</v>
      </c>
      <c r="B23" s="8">
        <v>9800</v>
      </c>
      <c r="C23" s="6">
        <f t="shared" si="0"/>
        <v>3.3367346938775508</v>
      </c>
      <c r="D23" s="8">
        <v>1.6831912999914489</v>
      </c>
      <c r="E23" s="6">
        <v>10365</v>
      </c>
      <c r="F23" s="8">
        <f t="shared" si="1"/>
        <v>8.6058851905451039</v>
      </c>
      <c r="G23" s="6">
        <v>2.4638469999772501</v>
      </c>
      <c r="H23" s="16">
        <v>9473</v>
      </c>
      <c r="I23" s="17">
        <v>0</v>
      </c>
      <c r="J23" s="16">
        <v>8.27</v>
      </c>
      <c r="K23" s="13"/>
    </row>
    <row r="24" spans="1:11" ht="15.75" customHeight="1" x14ac:dyDescent="0.25">
      <c r="A24" s="1" t="s">
        <v>42</v>
      </c>
      <c r="B24" s="8">
        <v>10503</v>
      </c>
      <c r="C24" s="6">
        <f t="shared" si="0"/>
        <v>10.320860706464821</v>
      </c>
      <c r="D24" s="8">
        <v>2.304985800001305</v>
      </c>
      <c r="E24" s="6">
        <v>10628</v>
      </c>
      <c r="F24" s="8">
        <f t="shared" si="1"/>
        <v>11.375611592021077</v>
      </c>
      <c r="G24" s="6">
        <v>2.162604699988151</v>
      </c>
      <c r="H24" s="16">
        <v>9419</v>
      </c>
      <c r="I24" s="17">
        <v>0</v>
      </c>
      <c r="J24" s="16">
        <v>7.02</v>
      </c>
      <c r="K24" s="13"/>
    </row>
    <row r="25" spans="1:11" ht="15.75" customHeight="1" x14ac:dyDescent="0.25">
      <c r="A25" s="1" t="s">
        <v>43</v>
      </c>
      <c r="B25" s="8">
        <v>9818</v>
      </c>
      <c r="C25" s="6">
        <f t="shared" si="0"/>
        <v>2.4546750865756772</v>
      </c>
      <c r="D25" s="8">
        <v>2.351780099997995</v>
      </c>
      <c r="E25" s="6">
        <v>10354</v>
      </c>
      <c r="F25" s="8">
        <f t="shared" si="1"/>
        <v>7.5043461464168431</v>
      </c>
      <c r="G25" s="6">
        <v>2.3654595999978478</v>
      </c>
      <c r="H25" s="16">
        <v>9577</v>
      </c>
      <c r="I25" s="17">
        <v>0</v>
      </c>
      <c r="J25" s="16">
        <v>8.32</v>
      </c>
      <c r="K25" s="13"/>
    </row>
    <row r="26" spans="1:11" ht="15.75" customHeight="1" x14ac:dyDescent="0.25">
      <c r="A26" s="1" t="s">
        <v>44</v>
      </c>
      <c r="B26" s="8">
        <v>17473</v>
      </c>
      <c r="C26" s="6">
        <f t="shared" si="0"/>
        <v>6.06077948835346</v>
      </c>
      <c r="D26" s="8">
        <v>1.4752058000012771</v>
      </c>
      <c r="E26" s="6">
        <v>18730</v>
      </c>
      <c r="F26" s="8">
        <f t="shared" si="1"/>
        <v>12.365189535504538</v>
      </c>
      <c r="G26" s="6">
        <v>1.451635799981887</v>
      </c>
      <c r="H26" s="16">
        <v>16414</v>
      </c>
      <c r="I26" s="17">
        <v>0</v>
      </c>
      <c r="J26" s="16">
        <v>5.73</v>
      </c>
      <c r="K26" s="13"/>
    </row>
    <row r="27" spans="1:11" ht="15.75" customHeight="1" x14ac:dyDescent="0.25">
      <c r="A27" s="1" t="s">
        <v>45</v>
      </c>
      <c r="B27" s="8">
        <v>13874</v>
      </c>
      <c r="C27" s="6">
        <f t="shared" si="0"/>
        <v>0.82888856854548065</v>
      </c>
      <c r="D27" s="8">
        <v>1.4001711999881079</v>
      </c>
      <c r="E27" s="6">
        <v>14847</v>
      </c>
      <c r="F27" s="8">
        <f t="shared" si="1"/>
        <v>7.328079746750185</v>
      </c>
      <c r="G27" s="6">
        <v>1.2802683000045361</v>
      </c>
      <c r="H27" s="16">
        <v>13759</v>
      </c>
      <c r="I27" s="17">
        <v>0</v>
      </c>
      <c r="J27" s="16">
        <v>5.79</v>
      </c>
      <c r="K27" s="13"/>
    </row>
    <row r="28" spans="1:11" ht="15.75" customHeight="1" x14ac:dyDescent="0.25">
      <c r="A28" s="1" t="s">
        <v>46</v>
      </c>
      <c r="B28" s="8">
        <v>14495</v>
      </c>
      <c r="C28" s="6">
        <f t="shared" si="0"/>
        <v>2.5112107623318383</v>
      </c>
      <c r="D28" s="8">
        <v>1.285703499990632</v>
      </c>
      <c r="E28" s="6">
        <v>15799</v>
      </c>
      <c r="F28" s="8">
        <f t="shared" si="1"/>
        <v>10.557630229761378</v>
      </c>
      <c r="G28" s="6">
        <v>1.185221099993214</v>
      </c>
      <c r="H28" s="16">
        <v>14131</v>
      </c>
      <c r="I28" s="17">
        <v>0</v>
      </c>
      <c r="J28" s="16">
        <v>6.48</v>
      </c>
      <c r="K28" s="13"/>
    </row>
    <row r="29" spans="1:11" ht="15.75" customHeight="1" x14ac:dyDescent="0.25">
      <c r="A29" s="1" t="s">
        <v>47</v>
      </c>
      <c r="B29" s="8">
        <v>12300</v>
      </c>
      <c r="C29" s="6">
        <f t="shared" si="0"/>
        <v>5.2764227642276422</v>
      </c>
      <c r="D29" s="8">
        <v>1.6891636000073049</v>
      </c>
      <c r="E29" s="6">
        <v>12721</v>
      </c>
      <c r="F29" s="8">
        <f t="shared" si="1"/>
        <v>8.4112884207216414</v>
      </c>
      <c r="G29" s="6">
        <v>2.228947499999776</v>
      </c>
      <c r="H29" s="16">
        <v>11651</v>
      </c>
      <c r="I29" s="17">
        <v>0</v>
      </c>
      <c r="J29" s="16">
        <v>6.93</v>
      </c>
      <c r="K29" s="13"/>
    </row>
    <row r="30" spans="1:11" ht="15.75" customHeight="1" x14ac:dyDescent="0.25">
      <c r="A30" s="1" t="s">
        <v>48</v>
      </c>
      <c r="B30" s="8">
        <v>11224</v>
      </c>
      <c r="C30" s="6">
        <f t="shared" si="0"/>
        <v>11.288310762651461</v>
      </c>
      <c r="D30" s="8">
        <v>1.6119073000008941</v>
      </c>
      <c r="E30" s="6">
        <v>10781</v>
      </c>
      <c r="F30" s="8">
        <f t="shared" si="1"/>
        <v>7.6430757814673971</v>
      </c>
      <c r="G30" s="6">
        <v>1.797740399983013</v>
      </c>
      <c r="H30" s="16">
        <v>9957</v>
      </c>
      <c r="I30" s="17">
        <v>7.0000000000000007E-2</v>
      </c>
      <c r="J30" s="16">
        <v>6.16</v>
      </c>
      <c r="K30" s="13"/>
    </row>
    <row r="31" spans="1:11" ht="15.75" customHeight="1" x14ac:dyDescent="0.25">
      <c r="A31" s="1" t="s">
        <v>49</v>
      </c>
      <c r="B31" s="8">
        <v>11565</v>
      </c>
      <c r="C31" s="6">
        <f t="shared" si="0"/>
        <v>5.4042369217466497</v>
      </c>
      <c r="D31" s="8">
        <v>1.819140400009928</v>
      </c>
      <c r="E31" s="6">
        <v>12507</v>
      </c>
      <c r="F31" s="8">
        <f t="shared" si="1"/>
        <v>12.528983769089312</v>
      </c>
      <c r="G31" s="6">
        <v>1.645367899996927</v>
      </c>
      <c r="H31" s="16">
        <v>10940</v>
      </c>
      <c r="I31" s="17">
        <v>0</v>
      </c>
      <c r="J31" s="16">
        <v>6.77</v>
      </c>
      <c r="K31" s="13"/>
    </row>
    <row r="32" spans="1:11" ht="15.75" customHeight="1" x14ac:dyDescent="0.25">
      <c r="A32" s="1" t="s">
        <v>50</v>
      </c>
      <c r="B32" s="8">
        <v>9704</v>
      </c>
      <c r="C32" s="6">
        <f t="shared" si="0"/>
        <v>7.1310799670239078</v>
      </c>
      <c r="D32" s="8">
        <v>2.218914400000358</v>
      </c>
      <c r="E32" s="6">
        <v>9883</v>
      </c>
      <c r="F32" s="8">
        <f t="shared" si="1"/>
        <v>8.8131134270970364</v>
      </c>
      <c r="G32" s="6">
        <v>1.8665433999849479</v>
      </c>
      <c r="H32" s="16">
        <v>9012</v>
      </c>
      <c r="I32" s="17">
        <v>0.09</v>
      </c>
      <c r="J32" s="16">
        <v>8.51</v>
      </c>
      <c r="K32" s="13"/>
    </row>
    <row r="33" spans="1:11" ht="15.75" customHeight="1" x14ac:dyDescent="0.25">
      <c r="A33" s="1" t="s">
        <v>51</v>
      </c>
      <c r="B33" s="8">
        <v>8409</v>
      </c>
      <c r="C33" s="6">
        <f t="shared" si="0"/>
        <v>4.4357236294446425</v>
      </c>
      <c r="D33" s="8">
        <v>2.6866157000040398</v>
      </c>
      <c r="E33" s="6">
        <v>8646</v>
      </c>
      <c r="F33" s="8">
        <f t="shared" si="1"/>
        <v>7.0552856812398801</v>
      </c>
      <c r="G33" s="6">
        <v>2.801228799973615</v>
      </c>
      <c r="H33" s="16">
        <v>8036</v>
      </c>
      <c r="I33" s="17">
        <v>0</v>
      </c>
      <c r="J33" s="16">
        <v>7.29</v>
      </c>
      <c r="K33" s="13"/>
    </row>
    <row r="34" spans="1:11" ht="15.75" customHeight="1" x14ac:dyDescent="0.25">
      <c r="A34" s="1" t="s">
        <v>52</v>
      </c>
      <c r="B34" s="8">
        <v>8904</v>
      </c>
      <c r="C34" s="6">
        <f t="shared" si="0"/>
        <v>7.6370170709793346</v>
      </c>
      <c r="D34" s="8">
        <v>2.3915828999888622</v>
      </c>
      <c r="E34" s="6">
        <v>9337</v>
      </c>
      <c r="F34" s="8">
        <f t="shared" si="1"/>
        <v>11.920317018314233</v>
      </c>
      <c r="G34" s="6">
        <v>2.423139499995159</v>
      </c>
      <c r="H34" s="16">
        <v>8224</v>
      </c>
      <c r="I34" s="17">
        <v>0</v>
      </c>
      <c r="J34" s="16">
        <v>7.36</v>
      </c>
      <c r="K34" s="13"/>
    </row>
    <row r="35" spans="1:11" ht="15.75" customHeight="1" x14ac:dyDescent="0.25">
      <c r="A35" s="1" t="s">
        <v>53</v>
      </c>
      <c r="B35" s="8">
        <v>24474</v>
      </c>
      <c r="C35" s="6">
        <f t="shared" si="0"/>
        <v>13.042412355969601</v>
      </c>
      <c r="D35" s="8">
        <v>24.758924100009612</v>
      </c>
      <c r="E35" s="6">
        <v>22386</v>
      </c>
      <c r="F35" s="8">
        <f t="shared" si="1"/>
        <v>4.9316537121415172</v>
      </c>
      <c r="G35" s="6">
        <v>19.844987699994821</v>
      </c>
      <c r="H35" s="16">
        <v>21282</v>
      </c>
      <c r="I35" s="18">
        <v>0.26</v>
      </c>
      <c r="J35" s="19">
        <v>84.88</v>
      </c>
      <c r="K35" s="16">
        <v>21338.6</v>
      </c>
    </row>
    <row r="36" spans="1:11" ht="15.75" customHeight="1" x14ac:dyDescent="0.25">
      <c r="A36" s="1" t="s">
        <v>54</v>
      </c>
      <c r="B36" s="8">
        <v>26702</v>
      </c>
      <c r="C36" s="6">
        <f t="shared" si="0"/>
        <v>9.9355853494120296</v>
      </c>
      <c r="D36" s="8">
        <v>19.600223700006609</v>
      </c>
      <c r="E36" s="6">
        <v>24962</v>
      </c>
      <c r="F36" s="8">
        <f t="shared" si="1"/>
        <v>3.6575594904254465</v>
      </c>
      <c r="G36" s="6">
        <v>12.93276629998581</v>
      </c>
      <c r="H36" s="16">
        <v>24049</v>
      </c>
      <c r="I36" s="18">
        <v>0</v>
      </c>
      <c r="J36" s="19">
        <v>67.930000000000007</v>
      </c>
      <c r="K36" s="16">
        <v>24049</v>
      </c>
    </row>
    <row r="37" spans="1:11" ht="15.75" customHeight="1" x14ac:dyDescent="0.25">
      <c r="A37" s="1" t="s">
        <v>55</v>
      </c>
      <c r="B37" s="8">
        <v>25177</v>
      </c>
      <c r="C37" s="6">
        <f t="shared" si="0"/>
        <v>8.3727211343686694</v>
      </c>
      <c r="D37" s="8">
        <v>19.394607499998529</v>
      </c>
      <c r="E37" s="6">
        <v>24591</v>
      </c>
      <c r="F37" s="8">
        <f t="shared" si="1"/>
        <v>6.1892562319547801</v>
      </c>
      <c r="G37" s="6">
        <v>23.1323397999804</v>
      </c>
      <c r="H37" s="16">
        <v>23069</v>
      </c>
      <c r="I37" s="18">
        <v>1.48</v>
      </c>
      <c r="J37" s="19">
        <v>80.069999999999993</v>
      </c>
      <c r="K37" s="16">
        <v>23416.7</v>
      </c>
    </row>
    <row r="38" spans="1:11" ht="15.75" customHeight="1" x14ac:dyDescent="0.25">
      <c r="A38" s="1" t="s">
        <v>56</v>
      </c>
      <c r="B38" s="8">
        <v>25179</v>
      </c>
      <c r="C38" s="6">
        <f t="shared" si="0"/>
        <v>1.7236586043925493</v>
      </c>
      <c r="D38" s="8">
        <v>10.68481500000053</v>
      </c>
      <c r="E38" s="6">
        <v>25367</v>
      </c>
      <c r="F38" s="8">
        <f t="shared" si="1"/>
        <v>2.4520045728702646</v>
      </c>
      <c r="G38" s="6">
        <v>7.8357609999948181</v>
      </c>
      <c r="H38" s="16">
        <v>24745</v>
      </c>
      <c r="I38" s="18">
        <v>0</v>
      </c>
      <c r="J38" s="19">
        <v>58.51</v>
      </c>
      <c r="K38" s="16">
        <v>24745</v>
      </c>
    </row>
    <row r="39" spans="1:11" ht="15.75" customHeight="1" x14ac:dyDescent="0.25">
      <c r="A39" s="1" t="s">
        <v>57</v>
      </c>
      <c r="B39" s="8">
        <v>25651</v>
      </c>
      <c r="C39" s="6">
        <f t="shared" si="0"/>
        <v>11.937156446142451</v>
      </c>
      <c r="D39" s="8">
        <v>15.72941909999645</v>
      </c>
      <c r="E39" s="6">
        <v>24432</v>
      </c>
      <c r="F39" s="8">
        <f t="shared" si="1"/>
        <v>7.5433857236411255</v>
      </c>
      <c r="G39" s="6">
        <v>12.35337900000741</v>
      </c>
      <c r="H39" s="16">
        <v>22589</v>
      </c>
      <c r="I39" s="18">
        <v>0.01</v>
      </c>
      <c r="J39" s="19">
        <v>84.44</v>
      </c>
      <c r="K39" s="16">
        <v>22591.8</v>
      </c>
    </row>
    <row r="40" spans="1:11" ht="15.75" customHeight="1" x14ac:dyDescent="0.25">
      <c r="A40" s="1" t="s">
        <v>58</v>
      </c>
      <c r="B40" s="8">
        <v>24624</v>
      </c>
      <c r="C40" s="6">
        <f t="shared" si="0"/>
        <v>12.918291098115658</v>
      </c>
      <c r="D40" s="8">
        <v>22.615217200000188</v>
      </c>
      <c r="E40" s="6">
        <v>23859</v>
      </c>
      <c r="F40" s="8">
        <f t="shared" si="1"/>
        <v>10.126157844000168</v>
      </c>
      <c r="G40" s="6">
        <v>22.286748799990161</v>
      </c>
      <c r="H40" s="16">
        <v>21443</v>
      </c>
      <c r="I40" s="18">
        <v>0</v>
      </c>
      <c r="J40" s="19">
        <v>82.5</v>
      </c>
      <c r="K40" s="16">
        <v>21443</v>
      </c>
    </row>
    <row r="41" spans="1:11" ht="15.75" customHeight="1" x14ac:dyDescent="0.25">
      <c r="A41" s="1" t="s">
        <v>59</v>
      </c>
      <c r="B41" s="8">
        <v>24474</v>
      </c>
      <c r="C41" s="6">
        <f t="shared" si="0"/>
        <v>13.042412355969601</v>
      </c>
      <c r="D41" s="8">
        <v>19.840209399990268</v>
      </c>
      <c r="E41" s="6">
        <v>22424</v>
      </c>
      <c r="F41" s="8">
        <f t="shared" si="1"/>
        <v>5.0927577595433462</v>
      </c>
      <c r="G41" s="6">
        <v>27.446247899992159</v>
      </c>
      <c r="H41" s="16">
        <v>21282</v>
      </c>
      <c r="I41" s="18">
        <v>0.39</v>
      </c>
      <c r="J41" s="19">
        <v>95.23</v>
      </c>
      <c r="K41" s="16">
        <v>21365.5</v>
      </c>
    </row>
    <row r="42" spans="1:11" ht="15.75" customHeight="1" x14ac:dyDescent="0.25">
      <c r="A42" s="1" t="s">
        <v>60</v>
      </c>
      <c r="B42" s="8">
        <v>42058</v>
      </c>
      <c r="C42" s="6">
        <f t="shared" si="0"/>
        <v>7.7131580198773131</v>
      </c>
      <c r="D42" s="8">
        <v>10.52716679999139</v>
      </c>
      <c r="E42" s="6">
        <v>40160</v>
      </c>
      <c r="F42" s="8">
        <f t="shared" si="1"/>
        <v>3.3515936254980083</v>
      </c>
      <c r="G42" s="6">
        <v>21.004927999980278</v>
      </c>
      <c r="H42" s="16">
        <v>38814</v>
      </c>
      <c r="I42" s="18">
        <v>0.16</v>
      </c>
      <c r="J42" s="19">
        <v>73.430000000000007</v>
      </c>
      <c r="K42" s="16">
        <v>38877.5</v>
      </c>
    </row>
    <row r="43" spans="1:11" ht="15.75" customHeight="1" x14ac:dyDescent="0.25">
      <c r="A43" s="1" t="s">
        <v>61</v>
      </c>
      <c r="B43" s="8">
        <v>32069</v>
      </c>
      <c r="C43" s="6">
        <f t="shared" si="0"/>
        <v>8.746764788424958</v>
      </c>
      <c r="D43" s="8">
        <v>18.944818100004341</v>
      </c>
      <c r="E43" s="6">
        <v>30191</v>
      </c>
      <c r="F43" s="8">
        <f t="shared" si="1"/>
        <v>3.0704514590440857</v>
      </c>
      <c r="G43" s="6">
        <v>20.8348360999953</v>
      </c>
      <c r="H43" s="16">
        <v>29264</v>
      </c>
      <c r="I43" s="18">
        <v>1.05</v>
      </c>
      <c r="J43" s="19">
        <v>92.64</v>
      </c>
      <c r="K43" s="16">
        <v>29578.2</v>
      </c>
    </row>
    <row r="44" spans="1:11" ht="15.75" customHeight="1" x14ac:dyDescent="0.25">
      <c r="A44" s="1" t="s">
        <v>62</v>
      </c>
      <c r="B44" s="8">
        <v>52633</v>
      </c>
      <c r="C44" s="6">
        <f t="shared" si="0"/>
        <v>4.6377747800809379</v>
      </c>
      <c r="D44" s="8">
        <v>11.07143029999861</v>
      </c>
      <c r="E44" s="6">
        <v>52956</v>
      </c>
      <c r="F44" s="8">
        <f t="shared" si="1"/>
        <v>5.2194274492031125</v>
      </c>
      <c r="G44" s="6">
        <v>8.6045973000000231</v>
      </c>
      <c r="H44" s="16">
        <v>50192</v>
      </c>
      <c r="I44" s="18">
        <v>0.43</v>
      </c>
      <c r="J44" s="19">
        <v>63.04</v>
      </c>
      <c r="K44" s="16">
        <v>50411</v>
      </c>
    </row>
    <row r="45" spans="1:11" ht="15.75" customHeight="1" x14ac:dyDescent="0.25">
      <c r="A45" s="1" t="s">
        <v>63</v>
      </c>
      <c r="B45" s="8">
        <v>37085</v>
      </c>
      <c r="C45" s="6">
        <f t="shared" si="0"/>
        <v>3.3382769313738709</v>
      </c>
      <c r="D45" s="8">
        <v>14.66321339999558</v>
      </c>
      <c r="E45" s="6">
        <v>41940</v>
      </c>
      <c r="F45" s="8">
        <f t="shared" si="1"/>
        <v>14.527896995708153</v>
      </c>
      <c r="G45" s="6">
        <v>11.43187909998232</v>
      </c>
      <c r="H45" s="16">
        <v>35847</v>
      </c>
      <c r="I45" s="18">
        <v>1.32</v>
      </c>
      <c r="J45" s="19">
        <v>72.97</v>
      </c>
      <c r="K45" s="16">
        <v>36328.400000000001</v>
      </c>
    </row>
    <row r="46" spans="1:11" ht="15.75" customHeight="1" x14ac:dyDescent="0.25">
      <c r="A46" s="1" t="s">
        <v>64</v>
      </c>
      <c r="B46" s="8">
        <v>28927</v>
      </c>
      <c r="C46" s="6">
        <f t="shared" si="0"/>
        <v>12.296470425553981</v>
      </c>
      <c r="D46" s="8">
        <v>20.779214800000769</v>
      </c>
      <c r="E46" s="6">
        <v>29558</v>
      </c>
      <c r="F46" s="8">
        <f t="shared" si="1"/>
        <v>14.168752960281481</v>
      </c>
      <c r="G46" s="6">
        <v>18.752155399997719</v>
      </c>
      <c r="H46" s="16">
        <v>25370</v>
      </c>
      <c r="I46" s="18">
        <v>0.87</v>
      </c>
      <c r="J46" s="19">
        <v>90.97</v>
      </c>
      <c r="K46" s="16">
        <v>25594.9</v>
      </c>
    </row>
    <row r="47" spans="1:11" ht="15.75" customHeight="1" x14ac:dyDescent="0.25">
      <c r="A47" s="1" t="s">
        <v>65</v>
      </c>
      <c r="B47" s="8">
        <v>32042</v>
      </c>
      <c r="C47" s="6">
        <f t="shared" si="0"/>
        <v>7.1936832906809816</v>
      </c>
      <c r="D47" s="8">
        <v>279.71819049998891</v>
      </c>
      <c r="E47" s="6">
        <v>30817</v>
      </c>
      <c r="F47" s="8">
        <f t="shared" si="1"/>
        <v>3.5045591718856475</v>
      </c>
      <c r="G47" s="6">
        <v>176.8744583999796</v>
      </c>
      <c r="H47" s="12">
        <v>29737</v>
      </c>
      <c r="I47" s="20">
        <v>1.01</v>
      </c>
      <c r="J47" s="21">
        <v>641.03</v>
      </c>
      <c r="K47" s="12">
        <v>30042.799999999999</v>
      </c>
    </row>
    <row r="48" spans="1:11" ht="15.75" customHeight="1" x14ac:dyDescent="0.25">
      <c r="A48" s="1" t="s">
        <v>66</v>
      </c>
      <c r="B48" s="8">
        <v>31680</v>
      </c>
      <c r="C48" s="6">
        <f t="shared" si="0"/>
        <v>5.5776515151515156</v>
      </c>
      <c r="D48" s="8">
        <v>136.53254489999381</v>
      </c>
      <c r="E48" s="6">
        <v>31084</v>
      </c>
      <c r="F48" s="8">
        <f t="shared" si="1"/>
        <v>3.7672114271007593</v>
      </c>
      <c r="G48" s="6">
        <v>117.36569360000431</v>
      </c>
      <c r="H48" s="12">
        <v>29913</v>
      </c>
      <c r="I48" s="20">
        <v>0.57999999999999996</v>
      </c>
      <c r="J48" s="21">
        <v>607.22</v>
      </c>
      <c r="K48" s="12">
        <v>30090</v>
      </c>
    </row>
    <row r="49" spans="1:11" ht="15.75" customHeight="1" x14ac:dyDescent="0.25">
      <c r="A49" s="1" t="s">
        <v>67</v>
      </c>
      <c r="B49" s="8">
        <v>31878</v>
      </c>
      <c r="C49" s="6">
        <f t="shared" si="0"/>
        <v>7.6635924462011422</v>
      </c>
      <c r="D49" s="8">
        <v>206.0518231999886</v>
      </c>
      <c r="E49" s="6">
        <v>31828</v>
      </c>
      <c r="F49" s="8">
        <f t="shared" si="1"/>
        <v>7.5185371371119771</v>
      </c>
      <c r="G49" s="6">
        <v>180.18495910000641</v>
      </c>
      <c r="H49" s="12">
        <v>29435</v>
      </c>
      <c r="I49" s="20">
        <v>1.42</v>
      </c>
      <c r="J49" s="21">
        <v>612.36</v>
      </c>
      <c r="K49" s="12">
        <v>29862.400000000001</v>
      </c>
    </row>
    <row r="50" spans="1:11" ht="15.75" customHeight="1" x14ac:dyDescent="0.25">
      <c r="A50" s="1" t="s">
        <v>68</v>
      </c>
      <c r="B50" s="8">
        <v>35519</v>
      </c>
      <c r="C50" s="6">
        <f t="shared" si="0"/>
        <v>9.2767251330273943</v>
      </c>
      <c r="D50" s="8">
        <v>90.74984659999609</v>
      </c>
      <c r="E50" s="6">
        <v>34287</v>
      </c>
      <c r="F50" s="8">
        <f t="shared" si="1"/>
        <v>6.0168577011695392</v>
      </c>
      <c r="G50" s="6">
        <v>108.3890413999907</v>
      </c>
      <c r="H50" s="12">
        <v>32224</v>
      </c>
      <c r="I50" s="20">
        <v>0.15</v>
      </c>
      <c r="J50" s="21">
        <v>404.43</v>
      </c>
      <c r="K50" s="12">
        <v>32273.3</v>
      </c>
    </row>
    <row r="51" spans="1:11" ht="15.75" customHeight="1" x14ac:dyDescent="0.25">
      <c r="A51" s="1" t="s">
        <v>69</v>
      </c>
      <c r="B51" s="8">
        <v>35007</v>
      </c>
      <c r="C51" s="6">
        <f t="shared" si="0"/>
        <v>11.249178735681435</v>
      </c>
      <c r="D51" s="8">
        <v>124.2283868999948</v>
      </c>
      <c r="E51" s="6">
        <v>33064</v>
      </c>
      <c r="F51" s="8">
        <f t="shared" si="1"/>
        <v>6.033752721993709</v>
      </c>
      <c r="G51" s="6">
        <v>115.08661189998379</v>
      </c>
      <c r="H51" s="12">
        <v>31069</v>
      </c>
      <c r="I51" s="20">
        <v>0.49</v>
      </c>
      <c r="J51" s="21">
        <v>467.58</v>
      </c>
      <c r="K51" s="12">
        <v>31221.3</v>
      </c>
    </row>
    <row r="52" spans="1:11" ht="15.75" customHeight="1" x14ac:dyDescent="0.25">
      <c r="A52" s="1" t="s">
        <v>70</v>
      </c>
      <c r="B52" s="8">
        <v>31890</v>
      </c>
      <c r="C52" s="6">
        <f t="shared" si="0"/>
        <v>3.7754782063342742</v>
      </c>
      <c r="D52" s="8">
        <v>204.89383620000439</v>
      </c>
      <c r="E52" s="6">
        <v>32507</v>
      </c>
      <c r="F52" s="8">
        <f t="shared" si="1"/>
        <v>5.6018703663826255</v>
      </c>
      <c r="G52" s="6">
        <v>157.89178320000059</v>
      </c>
      <c r="H52" s="12">
        <v>30686</v>
      </c>
      <c r="I52" s="20">
        <v>0.89</v>
      </c>
      <c r="J52" s="21">
        <v>565.14</v>
      </c>
      <c r="K52" s="12">
        <v>30964</v>
      </c>
    </row>
    <row r="53" spans="1:11" ht="15.75" customHeight="1" x14ac:dyDescent="0.25">
      <c r="A53" s="1" t="s">
        <v>71</v>
      </c>
      <c r="B53" s="8">
        <v>32226</v>
      </c>
      <c r="C53" s="6">
        <f t="shared" si="0"/>
        <v>7.3636194377210948</v>
      </c>
      <c r="D53" s="8">
        <v>218.02212690000309</v>
      </c>
      <c r="E53" s="6">
        <v>30881</v>
      </c>
      <c r="F53" s="8">
        <f t="shared" si="1"/>
        <v>3.3289077426249145</v>
      </c>
      <c r="G53" s="6">
        <v>179.70132510000261</v>
      </c>
      <c r="H53" s="12">
        <v>29853</v>
      </c>
      <c r="I53" s="20">
        <v>1.07</v>
      </c>
      <c r="J53" s="21">
        <v>656.14</v>
      </c>
      <c r="K53" s="12">
        <v>30176.5</v>
      </c>
    </row>
    <row r="54" spans="1:11" ht="15.75" customHeight="1" x14ac:dyDescent="0.25">
      <c r="A54" s="1" t="s">
        <v>72</v>
      </c>
      <c r="B54" s="8">
        <v>54527</v>
      </c>
      <c r="C54" s="6">
        <f t="shared" si="0"/>
        <v>5.1093953454252024</v>
      </c>
      <c r="D54" s="8">
        <v>123.13587159999589</v>
      </c>
      <c r="E54" s="6">
        <v>54257</v>
      </c>
      <c r="F54" s="8">
        <f t="shared" si="1"/>
        <v>4.6371896713788079</v>
      </c>
      <c r="G54" s="6">
        <v>115.5116373999917</v>
      </c>
      <c r="H54" s="12">
        <v>51741</v>
      </c>
      <c r="I54" s="20">
        <v>0.95</v>
      </c>
      <c r="J54" s="21">
        <v>473.42</v>
      </c>
      <c r="K54" s="12">
        <v>52237.3</v>
      </c>
    </row>
    <row r="55" spans="1:11" ht="15.75" customHeight="1" x14ac:dyDescent="0.25">
      <c r="A55" s="1" t="s">
        <v>73</v>
      </c>
      <c r="B55" s="8">
        <v>43162</v>
      </c>
      <c r="C55" s="6">
        <f t="shared" si="0"/>
        <v>11.477688707659516</v>
      </c>
      <c r="D55" s="8">
        <v>156.3060778999934</v>
      </c>
      <c r="E55" s="6">
        <v>40684</v>
      </c>
      <c r="F55" s="8">
        <f t="shared" si="1"/>
        <v>6.0859305869629337</v>
      </c>
      <c r="G55" s="6">
        <v>110.026689499995</v>
      </c>
      <c r="H55" s="12">
        <v>38208</v>
      </c>
      <c r="I55" s="20">
        <v>0.68</v>
      </c>
      <c r="J55" s="21">
        <v>574.14</v>
      </c>
      <c r="K55" s="12">
        <v>38471.5</v>
      </c>
    </row>
    <row r="56" spans="1:11" ht="15.75" customHeight="1" x14ac:dyDescent="0.25">
      <c r="A56" s="1" t="s">
        <v>74</v>
      </c>
      <c r="B56" s="8">
        <v>73826</v>
      </c>
      <c r="C56" s="6">
        <f t="shared" si="0"/>
        <v>9.116029583073713</v>
      </c>
      <c r="D56" s="8">
        <v>73.890647100008209</v>
      </c>
      <c r="E56" s="6">
        <v>71530</v>
      </c>
      <c r="F56" s="8">
        <f t="shared" si="1"/>
        <v>6.1987977072556966</v>
      </c>
      <c r="G56" s="6">
        <v>73.983075800002553</v>
      </c>
      <c r="H56" s="12">
        <v>67096</v>
      </c>
      <c r="I56" s="20">
        <v>0.97</v>
      </c>
      <c r="J56" s="21">
        <v>435.56</v>
      </c>
      <c r="K56" s="12">
        <v>67757.600000000006</v>
      </c>
    </row>
    <row r="57" spans="1:11" ht="15.75" customHeight="1" x14ac:dyDescent="0.25">
      <c r="A57" s="1" t="s">
        <v>75</v>
      </c>
      <c r="B57" s="8">
        <v>52271</v>
      </c>
      <c r="C57" s="6">
        <f t="shared" si="0"/>
        <v>8.1326165560253294</v>
      </c>
      <c r="D57" s="8">
        <v>103.4491186999949</v>
      </c>
      <c r="E57" s="6">
        <v>51838</v>
      </c>
      <c r="F57" s="8">
        <f t="shared" si="1"/>
        <v>7.3652532890929434</v>
      </c>
      <c r="G57" s="6">
        <v>101.8683487999951</v>
      </c>
      <c r="H57" s="12">
        <v>48020</v>
      </c>
      <c r="I57" s="20">
        <v>1.57</v>
      </c>
      <c r="J57" s="21">
        <v>537.11</v>
      </c>
      <c r="K57" s="12">
        <v>48790.1</v>
      </c>
    </row>
    <row r="58" spans="1:11" ht="15.75" customHeight="1" x14ac:dyDescent="0.25">
      <c r="A58" s="1" t="s">
        <v>76</v>
      </c>
      <c r="B58" s="8">
        <v>39096</v>
      </c>
      <c r="C58" s="6">
        <f t="shared" si="0"/>
        <v>12.535809289952937</v>
      </c>
      <c r="D58" s="8">
        <v>169.39163389999891</v>
      </c>
      <c r="E58" s="6">
        <v>38008</v>
      </c>
      <c r="F58" s="8">
        <f t="shared" si="1"/>
        <v>10.032098505577773</v>
      </c>
      <c r="G58" s="6">
        <v>178.2832583000127</v>
      </c>
      <c r="H58" s="12">
        <v>34195</v>
      </c>
      <c r="I58" s="20">
        <v>1.24</v>
      </c>
      <c r="J58" s="21">
        <v>495.08</v>
      </c>
      <c r="K58" s="12">
        <v>34630.400000000001</v>
      </c>
    </row>
    <row r="59" spans="1:11" ht="15.75" customHeight="1" x14ac:dyDescent="0.25">
      <c r="A59" s="1" t="s">
        <v>77</v>
      </c>
      <c r="B59" s="8">
        <v>24398</v>
      </c>
      <c r="C59" s="6">
        <f t="shared" si="0"/>
        <v>9.0950077875235671</v>
      </c>
      <c r="D59" s="8">
        <v>28.73040479999327</v>
      </c>
      <c r="E59" s="6">
        <v>22799</v>
      </c>
      <c r="F59" s="8">
        <f t="shared" si="1"/>
        <v>2.7194175183122069</v>
      </c>
      <c r="G59" s="6">
        <v>21.27716810000129</v>
      </c>
      <c r="H59" s="16">
        <v>22179</v>
      </c>
      <c r="I59" s="18">
        <v>0.25</v>
      </c>
      <c r="J59" s="19">
        <v>83.07</v>
      </c>
      <c r="K59" s="16">
        <v>22235</v>
      </c>
    </row>
    <row r="60" spans="1:11" ht="15.75" customHeight="1" x14ac:dyDescent="0.25">
      <c r="A60" s="1" t="s">
        <v>78</v>
      </c>
      <c r="B60" s="8">
        <v>27521</v>
      </c>
      <c r="C60" s="6">
        <f t="shared" si="0"/>
        <v>9.5708731514116483</v>
      </c>
      <c r="D60" s="8">
        <v>10.355360800007469</v>
      </c>
      <c r="E60" s="6">
        <v>26244</v>
      </c>
      <c r="F60" s="8">
        <f t="shared" si="1"/>
        <v>5.1707056851089774</v>
      </c>
      <c r="G60" s="6">
        <v>12.587392799992809</v>
      </c>
      <c r="H60" s="16">
        <v>24887</v>
      </c>
      <c r="I60" s="18">
        <v>0.33</v>
      </c>
      <c r="J60" s="19">
        <v>63.46</v>
      </c>
      <c r="K60" s="16">
        <v>24971.3</v>
      </c>
    </row>
    <row r="61" spans="1:11" ht="15.75" customHeight="1" x14ac:dyDescent="0.25">
      <c r="A61" s="1" t="s">
        <v>79</v>
      </c>
      <c r="B61" s="8">
        <v>26265</v>
      </c>
      <c r="C61" s="6">
        <f t="shared" si="0"/>
        <v>15.701503902531885</v>
      </c>
      <c r="D61" s="8">
        <v>17.30756240000483</v>
      </c>
      <c r="E61" s="6">
        <v>24562</v>
      </c>
      <c r="F61" s="8">
        <f t="shared" si="1"/>
        <v>9.8566891946909863</v>
      </c>
      <c r="G61" s="6">
        <v>19.710576000012221</v>
      </c>
      <c r="H61" s="16">
        <v>22141</v>
      </c>
      <c r="I61" s="18">
        <v>0.06</v>
      </c>
      <c r="J61" s="19">
        <v>77.19</v>
      </c>
      <c r="K61" s="16">
        <v>22155.1</v>
      </c>
    </row>
    <row r="62" spans="1:11" ht="15.75" customHeight="1" x14ac:dyDescent="0.25">
      <c r="A62" s="1" t="s">
        <v>80</v>
      </c>
      <c r="B62" s="8">
        <v>25439</v>
      </c>
      <c r="C62" s="6">
        <f t="shared" si="0"/>
        <v>2.5354770234679034</v>
      </c>
      <c r="D62" s="8">
        <v>12.18941460001224</v>
      </c>
      <c r="E62" s="6">
        <v>26114</v>
      </c>
      <c r="F62" s="8">
        <f t="shared" si="1"/>
        <v>5.0547598989048019</v>
      </c>
      <c r="G62" s="6">
        <v>10.833428600017211</v>
      </c>
      <c r="H62" s="16">
        <v>24794</v>
      </c>
      <c r="I62" s="18">
        <v>0</v>
      </c>
      <c r="J62" s="19">
        <v>57.91</v>
      </c>
      <c r="K62" s="16">
        <v>24794</v>
      </c>
    </row>
    <row r="63" spans="1:11" ht="15.75" customHeight="1" x14ac:dyDescent="0.25">
      <c r="A63" s="1" t="s">
        <v>81</v>
      </c>
      <c r="B63" s="8">
        <v>24572</v>
      </c>
      <c r="C63" s="6">
        <f t="shared" si="0"/>
        <v>5.7504476640078135</v>
      </c>
      <c r="D63" s="8">
        <v>13.259081299998799</v>
      </c>
      <c r="E63" s="6">
        <v>23875</v>
      </c>
      <c r="F63" s="8">
        <f t="shared" si="1"/>
        <v>2.998952879581152</v>
      </c>
      <c r="G63" s="6">
        <v>21.64869420000468</v>
      </c>
      <c r="H63" s="16">
        <v>23159</v>
      </c>
      <c r="I63" s="18">
        <v>0.06</v>
      </c>
      <c r="J63" s="19">
        <v>73.430000000000007</v>
      </c>
      <c r="K63" s="16">
        <v>23173.1</v>
      </c>
    </row>
    <row r="64" spans="1:11" ht="15.75" customHeight="1" x14ac:dyDescent="0.25">
      <c r="A64" s="1" t="s">
        <v>82</v>
      </c>
      <c r="B64" s="8">
        <v>25015</v>
      </c>
      <c r="C64" s="6">
        <f t="shared" si="0"/>
        <v>11.489106536078353</v>
      </c>
      <c r="D64" s="8">
        <v>24.5035227000044</v>
      </c>
      <c r="E64" s="6">
        <v>23446</v>
      </c>
      <c r="F64" s="8">
        <f t="shared" si="1"/>
        <v>5.5659814040774549</v>
      </c>
      <c r="G64" s="6">
        <v>17.24502110001049</v>
      </c>
      <c r="H64" s="16">
        <v>22141</v>
      </c>
      <c r="I64" s="18">
        <v>0.18</v>
      </c>
      <c r="J64" s="19">
        <v>79.72</v>
      </c>
      <c r="K64" s="16">
        <v>22180</v>
      </c>
    </row>
    <row r="65" spans="1:11" ht="15.75" customHeight="1" x14ac:dyDescent="0.25">
      <c r="A65" s="1" t="s">
        <v>83</v>
      </c>
      <c r="B65" s="8">
        <v>24572</v>
      </c>
      <c r="C65" s="6">
        <f t="shared" si="0"/>
        <v>9.8933745726843565</v>
      </c>
      <c r="D65" s="8">
        <v>22.637250500003571</v>
      </c>
      <c r="E65" s="6">
        <v>22799</v>
      </c>
      <c r="F65" s="8">
        <f t="shared" si="1"/>
        <v>2.8860914952410193</v>
      </c>
      <c r="G65" s="6">
        <v>20.887040000001431</v>
      </c>
      <c r="H65" s="16">
        <v>22141</v>
      </c>
      <c r="I65" s="18">
        <v>0.22</v>
      </c>
      <c r="J65" s="19">
        <v>83.55</v>
      </c>
      <c r="K65" s="16">
        <v>22189.1</v>
      </c>
    </row>
    <row r="66" spans="1:11" ht="15.75" customHeight="1" x14ac:dyDescent="0.25">
      <c r="A66" s="1" t="s">
        <v>84</v>
      </c>
      <c r="B66" s="8">
        <v>38987</v>
      </c>
      <c r="C66" s="6">
        <f t="shared" si="0"/>
        <v>3.2857106214892142</v>
      </c>
      <c r="D66" s="8">
        <v>11.754148599997279</v>
      </c>
      <c r="E66" s="6">
        <v>39988</v>
      </c>
      <c r="F66" s="8">
        <f t="shared" si="1"/>
        <v>5.706712013604081</v>
      </c>
      <c r="G66" s="6">
        <v>10.760759800003139</v>
      </c>
      <c r="H66" s="16">
        <v>37706</v>
      </c>
      <c r="I66" s="18">
        <v>0.17</v>
      </c>
      <c r="J66" s="19">
        <v>68.959999999999994</v>
      </c>
      <c r="K66" s="16">
        <v>37770.199999999997</v>
      </c>
    </row>
    <row r="67" spans="1:11" ht="15.75" customHeight="1" x14ac:dyDescent="0.25">
      <c r="A67" s="1" t="s">
        <v>85</v>
      </c>
      <c r="B67" s="8">
        <v>31521</v>
      </c>
      <c r="C67" s="6">
        <f t="shared" si="0"/>
        <v>9.5555344056343383</v>
      </c>
      <c r="D67" s="8">
        <v>17.544040099994159</v>
      </c>
      <c r="E67" s="6">
        <v>30020</v>
      </c>
      <c r="F67" s="8">
        <f t="shared" si="1"/>
        <v>5.0333111259160557</v>
      </c>
      <c r="G67" s="6">
        <v>14.29979540000204</v>
      </c>
      <c r="H67" s="16">
        <v>28509</v>
      </c>
      <c r="I67" s="18">
        <v>0.5</v>
      </c>
      <c r="J67" s="19">
        <v>85.82</v>
      </c>
      <c r="K67" s="16">
        <v>28652.6</v>
      </c>
    </row>
    <row r="68" spans="1:11" ht="15.75" customHeight="1" x14ac:dyDescent="0.25">
      <c r="A68" s="1" t="s">
        <v>86</v>
      </c>
      <c r="B68" s="8">
        <v>53141</v>
      </c>
      <c r="C68" s="6">
        <f t="shared" si="0"/>
        <v>4.441015411828908</v>
      </c>
      <c r="D68" s="8">
        <v>11.06664030000684</v>
      </c>
      <c r="E68" s="6">
        <v>54215</v>
      </c>
      <c r="F68" s="8">
        <f t="shared" si="1"/>
        <v>6.3340403947247079</v>
      </c>
      <c r="G68" s="6">
        <v>7.0739336000115136</v>
      </c>
      <c r="H68" s="16">
        <v>50781</v>
      </c>
      <c r="I68" s="18">
        <v>0.16</v>
      </c>
      <c r="J68" s="19">
        <v>57.83</v>
      </c>
      <c r="K68" s="16">
        <v>50863.4</v>
      </c>
    </row>
    <row r="69" spans="1:11" ht="15.75" customHeight="1" x14ac:dyDescent="0.25">
      <c r="A69" s="1" t="s">
        <v>87</v>
      </c>
      <c r="B69" s="8">
        <v>37163</v>
      </c>
      <c r="C69" s="6">
        <f t="shared" si="0"/>
        <v>5.2579178214891158</v>
      </c>
      <c r="D69" s="8">
        <v>15.338155100005681</v>
      </c>
      <c r="E69" s="6">
        <v>39127</v>
      </c>
      <c r="F69" s="8">
        <f t="shared" si="1"/>
        <v>10.013545633450047</v>
      </c>
      <c r="G69" s="6">
        <v>10.65214059999562</v>
      </c>
      <c r="H69" s="16">
        <v>35209</v>
      </c>
      <c r="I69" s="18">
        <v>1.06</v>
      </c>
      <c r="J69" s="19">
        <v>81.010000000000005</v>
      </c>
      <c r="K69" s="16">
        <v>35589.300000000003</v>
      </c>
    </row>
    <row r="70" spans="1:11" ht="15.75" customHeight="1" x14ac:dyDescent="0.25">
      <c r="A70" s="1" t="s">
        <v>88</v>
      </c>
      <c r="B70" s="8">
        <v>28936</v>
      </c>
      <c r="C70" s="6">
        <f t="shared" si="0"/>
        <v>9.9080729886646388</v>
      </c>
      <c r="D70" s="8">
        <v>21.527929100004261</v>
      </c>
      <c r="E70" s="6">
        <v>29250</v>
      </c>
      <c r="F70" s="8">
        <f t="shared" si="1"/>
        <v>10.875213675213676</v>
      </c>
      <c r="G70" s="6">
        <v>15.70853270002408</v>
      </c>
      <c r="H70" s="16">
        <v>26069</v>
      </c>
      <c r="I70" s="18">
        <v>0.51</v>
      </c>
      <c r="J70" s="19">
        <v>85.42</v>
      </c>
      <c r="K70" s="16">
        <v>26205</v>
      </c>
    </row>
    <row r="71" spans="1:11" ht="15.75" customHeight="1" x14ac:dyDescent="0.25">
      <c r="A71" s="1" t="s">
        <v>89</v>
      </c>
      <c r="B71" s="8">
        <v>32954</v>
      </c>
      <c r="C71" s="6">
        <f t="shared" si="0"/>
        <v>9.6012623657219152</v>
      </c>
      <c r="D71" s="8">
        <v>1089.7754580999899</v>
      </c>
      <c r="E71" s="6">
        <v>30338</v>
      </c>
      <c r="F71" s="8">
        <f t="shared" si="1"/>
        <v>1.8063155118992682</v>
      </c>
      <c r="G71" s="6">
        <v>143.98235229999409</v>
      </c>
      <c r="H71" s="12">
        <v>29790</v>
      </c>
      <c r="I71" s="20">
        <v>0.91</v>
      </c>
      <c r="J71" s="21">
        <v>628.29999999999995</v>
      </c>
      <c r="K71" s="12">
        <v>30064.7</v>
      </c>
    </row>
    <row r="72" spans="1:11" ht="15.75" customHeight="1" x14ac:dyDescent="0.25">
      <c r="A72" s="1" t="s">
        <v>90</v>
      </c>
      <c r="B72" s="8">
        <v>33154</v>
      </c>
      <c r="C72" s="6">
        <f t="shared" si="0"/>
        <v>6.5301321107558667</v>
      </c>
      <c r="D72" s="8">
        <v>102.63718249999511</v>
      </c>
      <c r="E72" s="6">
        <v>32331</v>
      </c>
      <c r="F72" s="8">
        <f t="shared" si="1"/>
        <v>4.1508150072685659</v>
      </c>
      <c r="G72" s="6">
        <v>127.8446320999938</v>
      </c>
      <c r="H72" s="12">
        <v>30989</v>
      </c>
      <c r="I72" s="20">
        <v>0.91</v>
      </c>
      <c r="J72" s="21">
        <v>565.49</v>
      </c>
      <c r="K72" s="12">
        <v>31276.1</v>
      </c>
    </row>
    <row r="73" spans="1:11" ht="15.75" customHeight="1" x14ac:dyDescent="0.25">
      <c r="A73" s="1" t="s">
        <v>91</v>
      </c>
      <c r="B73" s="8">
        <v>33943</v>
      </c>
      <c r="C73" s="6">
        <f t="shared" si="0"/>
        <v>10.270158795627966</v>
      </c>
      <c r="D73" s="8">
        <v>119.13616409999671</v>
      </c>
      <c r="E73" s="6">
        <v>32938</v>
      </c>
      <c r="F73" s="8">
        <f t="shared" si="1"/>
        <v>7.5323334750136626</v>
      </c>
      <c r="G73" s="6">
        <v>163.13286720000909</v>
      </c>
      <c r="H73" s="12">
        <v>30457</v>
      </c>
      <c r="I73" s="20">
        <v>1.21</v>
      </c>
      <c r="J73" s="21">
        <v>539.30999999999995</v>
      </c>
      <c r="K73" s="12">
        <v>30830.7</v>
      </c>
    </row>
    <row r="74" spans="1:11" ht="15.75" customHeight="1" x14ac:dyDescent="0.25">
      <c r="A74" s="1" t="s">
        <v>92</v>
      </c>
      <c r="B74" s="8">
        <v>40963</v>
      </c>
      <c r="C74" s="6">
        <f t="shared" si="0"/>
        <v>7.4555086297390325</v>
      </c>
      <c r="D74" s="8">
        <v>119.5939750999969</v>
      </c>
      <c r="E74" s="6">
        <v>38947</v>
      </c>
      <c r="F74" s="8">
        <f t="shared" si="1"/>
        <v>2.665160346111382</v>
      </c>
      <c r="G74" s="6">
        <v>97.932150400010869</v>
      </c>
      <c r="H74" s="12">
        <v>37909</v>
      </c>
      <c r="I74" s="20">
        <v>0.17</v>
      </c>
      <c r="J74" s="21">
        <v>401.54</v>
      </c>
      <c r="K74" s="12">
        <v>37973.199999999997</v>
      </c>
    </row>
    <row r="75" spans="1:11" ht="15.75" customHeight="1" x14ac:dyDescent="0.25">
      <c r="A75" s="1" t="s">
        <v>93</v>
      </c>
      <c r="B75" s="8">
        <v>36775</v>
      </c>
      <c r="C75" s="6">
        <f t="shared" si="0"/>
        <v>9.5146159075458865</v>
      </c>
      <c r="D75" s="8">
        <v>116.3579981999937</v>
      </c>
      <c r="E75" s="6">
        <v>35513</v>
      </c>
      <c r="F75" s="8">
        <f t="shared" si="1"/>
        <v>6.2991017373919407</v>
      </c>
      <c r="G75" s="6">
        <v>85.028643600002397</v>
      </c>
      <c r="H75" s="12">
        <v>33276</v>
      </c>
      <c r="I75" s="20">
        <v>0.48</v>
      </c>
      <c r="J75" s="21">
        <v>540.77</v>
      </c>
      <c r="K75" s="12">
        <v>33438.300000000003</v>
      </c>
    </row>
    <row r="76" spans="1:11" ht="15.75" customHeight="1" x14ac:dyDescent="0.25">
      <c r="A76" s="1" t="s">
        <v>94</v>
      </c>
      <c r="B76" s="8">
        <v>34086</v>
      </c>
      <c r="C76" s="6">
        <f t="shared" si="0"/>
        <v>11.195212110543919</v>
      </c>
      <c r="D76" s="8">
        <v>227.48571150000501</v>
      </c>
      <c r="E76" s="6">
        <v>32823</v>
      </c>
      <c r="F76" s="8">
        <f t="shared" si="1"/>
        <v>7.7780824421899277</v>
      </c>
      <c r="G76" s="6">
        <v>139.53727749999959</v>
      </c>
      <c r="H76" s="12">
        <v>30270</v>
      </c>
      <c r="I76" s="20">
        <v>0.73</v>
      </c>
      <c r="J76" s="21">
        <v>565.99</v>
      </c>
      <c r="K76" s="12">
        <v>30492</v>
      </c>
    </row>
    <row r="77" spans="1:11" ht="15.75" customHeight="1" x14ac:dyDescent="0.25">
      <c r="A77" s="1" t="s">
        <v>95</v>
      </c>
      <c r="B77" s="8">
        <v>33026</v>
      </c>
      <c r="C77" s="6">
        <f t="shared" si="0"/>
        <v>9.61969357475928</v>
      </c>
      <c r="D77" s="8">
        <v>224.91827290000219</v>
      </c>
      <c r="E77" s="6">
        <v>29977</v>
      </c>
      <c r="F77" s="8">
        <f t="shared" si="1"/>
        <v>0.42699402875537912</v>
      </c>
      <c r="G77" s="6">
        <v>173.52011469998979</v>
      </c>
      <c r="H77" s="12">
        <v>29849</v>
      </c>
      <c r="I77" s="20">
        <v>0.99</v>
      </c>
      <c r="J77" s="21">
        <v>697.39</v>
      </c>
      <c r="K77" s="12">
        <v>30149.7</v>
      </c>
    </row>
    <row r="78" spans="1:11" ht="15.75" customHeight="1" x14ac:dyDescent="0.25">
      <c r="A78" s="1" t="s">
        <v>96</v>
      </c>
      <c r="B78" s="8">
        <v>58782</v>
      </c>
      <c r="C78" s="6">
        <f t="shared" si="0"/>
        <v>8.579156884760641</v>
      </c>
      <c r="D78" s="8">
        <v>129.67075720000139</v>
      </c>
      <c r="E78" s="6">
        <v>57275</v>
      </c>
      <c r="F78" s="8">
        <f t="shared" si="1"/>
        <v>6.1737232649498033</v>
      </c>
      <c r="G78" s="6">
        <v>2584.8134314000199</v>
      </c>
      <c r="H78" s="12">
        <v>53739</v>
      </c>
      <c r="I78" s="20">
        <v>0.72</v>
      </c>
      <c r="J78" s="21">
        <v>525.52</v>
      </c>
      <c r="K78" s="12">
        <v>54131.3</v>
      </c>
    </row>
    <row r="79" spans="1:11" ht="15.75" customHeight="1" x14ac:dyDescent="0.25">
      <c r="A79" s="1" t="s">
        <v>97</v>
      </c>
      <c r="B79" s="8">
        <v>41552</v>
      </c>
      <c r="C79" s="6">
        <f t="shared" si="0"/>
        <v>6.2788794763188296</v>
      </c>
      <c r="D79" s="8">
        <v>139.416830800008</v>
      </c>
      <c r="E79" s="6">
        <v>40638</v>
      </c>
      <c r="F79" s="8">
        <f t="shared" si="1"/>
        <v>4.1709729809537865</v>
      </c>
      <c r="G79" s="6">
        <v>98.471970900020096</v>
      </c>
      <c r="H79" s="12">
        <v>38943</v>
      </c>
      <c r="I79" s="20">
        <v>0.63</v>
      </c>
      <c r="J79" s="21">
        <v>606.27</v>
      </c>
      <c r="K79" s="12">
        <v>39190.5</v>
      </c>
    </row>
    <row r="80" spans="1:11" ht="15.75" customHeight="1" x14ac:dyDescent="0.25">
      <c r="A80" s="1" t="s">
        <v>98</v>
      </c>
      <c r="B80" s="8">
        <v>76696</v>
      </c>
      <c r="C80" s="6">
        <f t="shared" si="0"/>
        <v>5.0980494419526439</v>
      </c>
      <c r="D80" s="8">
        <v>75.21884049999062</v>
      </c>
      <c r="E80" s="6">
        <v>76964</v>
      </c>
      <c r="F80" s="8">
        <f t="shared" si="1"/>
        <v>5.4285120315991895</v>
      </c>
      <c r="G80" s="6">
        <v>91.167275699990569</v>
      </c>
      <c r="H80" s="12">
        <v>72786</v>
      </c>
      <c r="I80" s="20">
        <v>0.31</v>
      </c>
      <c r="J80" s="21">
        <v>469.76</v>
      </c>
      <c r="K80" s="12">
        <v>73011.3</v>
      </c>
    </row>
    <row r="81" spans="1:11" ht="15.75" customHeight="1" x14ac:dyDescent="0.25">
      <c r="A81" s="1" t="s">
        <v>99</v>
      </c>
      <c r="B81" s="8">
        <v>52784</v>
      </c>
      <c r="C81" s="6">
        <f t="shared" si="0"/>
        <v>4.7817520460745682</v>
      </c>
      <c r="D81" s="8">
        <v>106.6112252000021</v>
      </c>
      <c r="E81" s="6">
        <v>53626</v>
      </c>
      <c r="F81" s="8">
        <f t="shared" si="1"/>
        <v>6.276806026927237</v>
      </c>
      <c r="G81" s="6">
        <v>115.3458927000174</v>
      </c>
      <c r="H81" s="12">
        <v>50260</v>
      </c>
      <c r="I81" s="20">
        <v>1.1000000000000001</v>
      </c>
      <c r="J81" s="21">
        <v>525.85</v>
      </c>
      <c r="K81" s="12">
        <v>50821.8</v>
      </c>
    </row>
    <row r="82" spans="1:11" ht="15.75" customHeight="1" x14ac:dyDescent="0.25">
      <c r="A82" s="1" t="s">
        <v>100</v>
      </c>
      <c r="B82" s="8">
        <v>41651</v>
      </c>
      <c r="C82" s="6">
        <f t="shared" si="0"/>
        <v>11.34426544380687</v>
      </c>
      <c r="D82" s="8">
        <v>197.08992120000769</v>
      </c>
      <c r="E82" s="6">
        <v>38835</v>
      </c>
      <c r="F82" s="8">
        <f t="shared" si="1"/>
        <v>4.9156688554139309</v>
      </c>
      <c r="G82" s="6">
        <v>205.31946009999959</v>
      </c>
      <c r="H82" s="12">
        <v>36926</v>
      </c>
      <c r="I82" s="20">
        <v>0.59</v>
      </c>
      <c r="J82" s="21">
        <v>652.27</v>
      </c>
      <c r="K82" s="12">
        <v>37145.9</v>
      </c>
    </row>
    <row r="83" spans="1:11" ht="15.75" customHeight="1" x14ac:dyDescent="0.25">
      <c r="A83" s="1" t="s">
        <v>101</v>
      </c>
      <c r="B83" s="8">
        <v>24204</v>
      </c>
      <c r="C83" s="6">
        <f t="shared" si="0"/>
        <v>14.27450008263097</v>
      </c>
      <c r="D83" s="8">
        <v>22.629490999999689</v>
      </c>
      <c r="E83" s="6">
        <v>20915</v>
      </c>
      <c r="F83" s="8">
        <f t="shared" si="1"/>
        <v>0.79368874013865642</v>
      </c>
      <c r="G83" s="6">
        <v>25.543328600004319</v>
      </c>
      <c r="H83" s="16">
        <v>20749</v>
      </c>
      <c r="I83" s="18">
        <v>0.18</v>
      </c>
      <c r="J83" s="19">
        <v>94.88</v>
      </c>
      <c r="K83" s="16">
        <v>20786.900000000001</v>
      </c>
    </row>
    <row r="84" spans="1:11" ht="15.75" customHeight="1" x14ac:dyDescent="0.25">
      <c r="A84" s="1" t="s">
        <v>102</v>
      </c>
      <c r="B84" s="8">
        <v>23316</v>
      </c>
      <c r="C84" s="6">
        <f t="shared" si="0"/>
        <v>8.4748670440898959</v>
      </c>
      <c r="D84" s="8">
        <v>12.371684300000201</v>
      </c>
      <c r="E84" s="6">
        <v>22885</v>
      </c>
      <c r="F84" s="8">
        <f t="shared" si="1"/>
        <v>6.7511470395455531</v>
      </c>
      <c r="G84" s="6">
        <v>9.9995587000157684</v>
      </c>
      <c r="H84" s="16">
        <v>21340</v>
      </c>
      <c r="I84" s="18">
        <v>0.47</v>
      </c>
      <c r="J84" s="19">
        <v>57.97</v>
      </c>
      <c r="K84" s="16">
        <v>21440.6</v>
      </c>
    </row>
    <row r="85" spans="1:11" ht="15.75" customHeight="1" x14ac:dyDescent="0.25">
      <c r="A85" s="1" t="s">
        <v>103</v>
      </c>
      <c r="B85" s="8">
        <v>22374</v>
      </c>
      <c r="C85" s="6">
        <f t="shared" si="0"/>
        <v>6.5433091981764546</v>
      </c>
      <c r="D85" s="8">
        <v>25.805154500005301</v>
      </c>
      <c r="E85" s="6">
        <v>23078</v>
      </c>
      <c r="F85" s="8">
        <f t="shared" si="1"/>
        <v>9.3942282693474315</v>
      </c>
      <c r="G85" s="6">
        <v>13.520480399980441</v>
      </c>
      <c r="H85" s="16">
        <v>20910</v>
      </c>
      <c r="I85" s="18">
        <v>0</v>
      </c>
      <c r="J85" s="19">
        <v>92.46</v>
      </c>
      <c r="K85" s="16">
        <v>20910</v>
      </c>
    </row>
    <row r="86" spans="1:11" ht="15.75" customHeight="1" x14ac:dyDescent="0.25">
      <c r="A86" s="1" t="s">
        <v>104</v>
      </c>
      <c r="B86" s="8">
        <v>25232</v>
      </c>
      <c r="C86" s="6">
        <f t="shared" si="0"/>
        <v>4.7241597970830691</v>
      </c>
      <c r="D86" s="8">
        <v>9.6866005000047153</v>
      </c>
      <c r="E86" s="6">
        <v>25009</v>
      </c>
      <c r="F86" s="8">
        <f t="shared" si="1"/>
        <v>3.8746051421488263</v>
      </c>
      <c r="G86" s="6">
        <v>10.631673299998511</v>
      </c>
      <c r="H86" s="16">
        <v>24040</v>
      </c>
      <c r="I86" s="18">
        <v>0</v>
      </c>
      <c r="J86" s="19">
        <v>58.26</v>
      </c>
      <c r="K86" s="16">
        <v>24040</v>
      </c>
    </row>
    <row r="87" spans="1:11" ht="15.75" customHeight="1" x14ac:dyDescent="0.25">
      <c r="A87" s="1" t="s">
        <v>105</v>
      </c>
      <c r="B87" s="8">
        <v>23827</v>
      </c>
      <c r="C87" s="6">
        <f t="shared" si="0"/>
        <v>4.1969194611155416</v>
      </c>
      <c r="D87" s="8">
        <v>12.53709820000222</v>
      </c>
      <c r="E87" s="6">
        <v>22942</v>
      </c>
      <c r="F87" s="8">
        <f t="shared" si="1"/>
        <v>0.50126405718769063</v>
      </c>
      <c r="G87" s="6">
        <v>15.83484239998506</v>
      </c>
      <c r="H87" s="16">
        <v>22827</v>
      </c>
      <c r="I87" s="18">
        <v>0</v>
      </c>
      <c r="J87" s="19">
        <v>71.760000000000005</v>
      </c>
      <c r="K87" s="16">
        <v>22827</v>
      </c>
    </row>
    <row r="88" spans="1:11" ht="15.75" customHeight="1" x14ac:dyDescent="0.25">
      <c r="A88" s="1" t="s">
        <v>106</v>
      </c>
      <c r="B88" s="8">
        <v>24595</v>
      </c>
      <c r="C88" s="6">
        <f t="shared" si="0"/>
        <v>13.486480992071559</v>
      </c>
      <c r="D88" s="8">
        <v>29.337459000002131</v>
      </c>
      <c r="E88" s="6">
        <v>22570</v>
      </c>
      <c r="F88" s="8">
        <f t="shared" si="1"/>
        <v>5.724412937527692</v>
      </c>
      <c r="G88" s="6">
        <v>30.494949700019792</v>
      </c>
      <c r="H88" s="16">
        <v>21278</v>
      </c>
      <c r="I88" s="18">
        <v>0.31</v>
      </c>
      <c r="J88" s="19">
        <v>91.31</v>
      </c>
      <c r="K88" s="16">
        <v>21344.9</v>
      </c>
    </row>
    <row r="89" spans="1:11" ht="15.75" customHeight="1" x14ac:dyDescent="0.25">
      <c r="A89" s="1" t="s">
        <v>107</v>
      </c>
      <c r="B89" s="8">
        <v>23826</v>
      </c>
      <c r="C89" s="6">
        <f t="shared" si="0"/>
        <v>12.914463191471501</v>
      </c>
      <c r="D89" s="8">
        <v>32.297285199994803</v>
      </c>
      <c r="E89" s="6">
        <v>20852</v>
      </c>
      <c r="F89" s="8">
        <f t="shared" si="1"/>
        <v>0.49395741415691541</v>
      </c>
      <c r="G89" s="6">
        <v>24.701353000011299</v>
      </c>
      <c r="H89" s="16">
        <v>20749</v>
      </c>
      <c r="I89" s="18">
        <v>0.37</v>
      </c>
      <c r="J89" s="19">
        <v>94.55</v>
      </c>
      <c r="K89" s="16">
        <v>20826.099999999999</v>
      </c>
    </row>
    <row r="90" spans="1:11" ht="15.75" customHeight="1" x14ac:dyDescent="0.25">
      <c r="A90" s="1" t="s">
        <v>108</v>
      </c>
      <c r="B90" s="8">
        <v>41225</v>
      </c>
      <c r="C90" s="6">
        <f t="shared" si="0"/>
        <v>7.9369314736203762</v>
      </c>
      <c r="D90" s="8">
        <v>11.374178199999729</v>
      </c>
      <c r="E90" s="6">
        <v>40534</v>
      </c>
      <c r="F90" s="8">
        <f t="shared" si="1"/>
        <v>6.3674939556915184</v>
      </c>
      <c r="G90" s="6">
        <v>11.51571889998741</v>
      </c>
      <c r="H90" s="16">
        <v>37953</v>
      </c>
      <c r="I90" s="18">
        <v>0.34</v>
      </c>
      <c r="J90" s="19">
        <v>86.17</v>
      </c>
      <c r="K90" s="16">
        <v>38083</v>
      </c>
    </row>
    <row r="91" spans="1:11" ht="15.75" customHeight="1" x14ac:dyDescent="0.25">
      <c r="A91" s="1" t="s">
        <v>109</v>
      </c>
      <c r="B91" s="8">
        <v>29802</v>
      </c>
      <c r="C91" s="6">
        <f t="shared" si="0"/>
        <v>5.6103617206898866</v>
      </c>
      <c r="D91" s="8">
        <v>20.429108900003481</v>
      </c>
      <c r="E91" s="6">
        <v>29675</v>
      </c>
      <c r="F91" s="8">
        <f t="shared" si="1"/>
        <v>5.2064026958719465</v>
      </c>
      <c r="G91" s="6">
        <v>16.742996099987071</v>
      </c>
      <c r="H91" s="16">
        <v>28130</v>
      </c>
      <c r="I91" s="18">
        <v>0.61</v>
      </c>
      <c r="J91" s="19">
        <v>86.83</v>
      </c>
      <c r="K91" s="16">
        <v>28304.5</v>
      </c>
    </row>
    <row r="92" spans="1:11" ht="15.75" customHeight="1" x14ac:dyDescent="0.25">
      <c r="A92" s="1" t="s">
        <v>110</v>
      </c>
      <c r="B92" s="8">
        <v>52722</v>
      </c>
      <c r="C92" s="6">
        <f t="shared" si="0"/>
        <v>5.00170706725845</v>
      </c>
      <c r="D92" s="8">
        <v>10.067712999996729</v>
      </c>
      <c r="E92" s="6">
        <v>51181</v>
      </c>
      <c r="F92" s="8">
        <f t="shared" si="1"/>
        <v>2.1414196674547195</v>
      </c>
      <c r="G92" s="6">
        <v>9.7317911999998614</v>
      </c>
      <c r="H92" s="16">
        <v>50085</v>
      </c>
      <c r="I92" s="18">
        <v>0.03</v>
      </c>
      <c r="J92" s="19">
        <v>69.09</v>
      </c>
      <c r="K92" s="16">
        <v>50099.9</v>
      </c>
    </row>
    <row r="93" spans="1:11" ht="15.75" customHeight="1" x14ac:dyDescent="0.25">
      <c r="A93" s="1" t="s">
        <v>111</v>
      </c>
      <c r="B93" s="8">
        <v>39134</v>
      </c>
      <c r="C93" s="6">
        <f t="shared" si="0"/>
        <v>14.156487964429907</v>
      </c>
      <c r="D93" s="8">
        <v>14.36944939999375</v>
      </c>
      <c r="E93" s="6">
        <v>37592</v>
      </c>
      <c r="F93" s="8">
        <f t="shared" si="1"/>
        <v>10.635241540753352</v>
      </c>
      <c r="G93" s="6">
        <v>10.64937009999994</v>
      </c>
      <c r="H93" s="16">
        <v>33594</v>
      </c>
      <c r="I93" s="18">
        <v>2.2200000000000002</v>
      </c>
      <c r="J93" s="19">
        <v>73.73</v>
      </c>
      <c r="K93" s="16">
        <v>34365.1</v>
      </c>
    </row>
    <row r="94" spans="1:11" ht="15.75" customHeight="1" x14ac:dyDescent="0.25">
      <c r="A94" s="1" t="s">
        <v>112</v>
      </c>
      <c r="B94" s="8">
        <v>30569</v>
      </c>
      <c r="C94" s="6">
        <f t="shared" si="0"/>
        <v>16.71955248781445</v>
      </c>
      <c r="D94" s="8">
        <v>15.65383130000555</v>
      </c>
      <c r="E94" s="6">
        <v>25761</v>
      </c>
      <c r="F94" s="8">
        <f t="shared" si="1"/>
        <v>1.1761965762198674</v>
      </c>
      <c r="G94" s="6">
        <v>22.6613658000133</v>
      </c>
      <c r="H94" s="16">
        <v>25458</v>
      </c>
      <c r="I94" s="18">
        <v>0.5</v>
      </c>
      <c r="J94" s="19">
        <v>94.83</v>
      </c>
      <c r="K94" s="16">
        <v>25587.599999999999</v>
      </c>
    </row>
    <row r="95" spans="1:11" ht="15.75" customHeight="1" x14ac:dyDescent="0.25">
      <c r="A95" s="1" t="s">
        <v>113</v>
      </c>
      <c r="B95" s="8">
        <v>24059</v>
      </c>
      <c r="C95" s="6">
        <f t="shared" si="0"/>
        <v>11.492580739016585</v>
      </c>
      <c r="D95" s="8">
        <v>27.51709970000957</v>
      </c>
      <c r="E95" s="6">
        <v>21515</v>
      </c>
      <c r="F95" s="8">
        <f t="shared" si="1"/>
        <v>1.0271903323262841</v>
      </c>
      <c r="G95" s="6">
        <v>21.23833320001722</v>
      </c>
      <c r="H95" s="16">
        <v>21294</v>
      </c>
      <c r="I95" s="18">
        <v>0.02</v>
      </c>
      <c r="J95" s="19">
        <v>93.39</v>
      </c>
      <c r="K95" s="16">
        <v>21298.5</v>
      </c>
    </row>
    <row r="96" spans="1:11" ht="15.75" customHeight="1" x14ac:dyDescent="0.25">
      <c r="A96" s="1" t="s">
        <v>114</v>
      </c>
      <c r="B96" s="8">
        <v>25523</v>
      </c>
      <c r="C96" s="6">
        <f t="shared" si="0"/>
        <v>6.7155114994318854</v>
      </c>
      <c r="D96" s="8">
        <v>13.166676500011819</v>
      </c>
      <c r="E96" s="6">
        <v>25513</v>
      </c>
      <c r="F96" s="8">
        <f t="shared" si="1"/>
        <v>6.6789479873005915</v>
      </c>
      <c r="G96" s="6">
        <v>12.441835799982069</v>
      </c>
      <c r="H96" s="16">
        <v>23809</v>
      </c>
      <c r="I96" s="18">
        <v>0.1</v>
      </c>
      <c r="J96" s="19">
        <v>65.25</v>
      </c>
      <c r="K96" s="16">
        <v>23833.3</v>
      </c>
    </row>
    <row r="97" spans="1:11" ht="15.75" customHeight="1" x14ac:dyDescent="0.25">
      <c r="A97" s="1" t="s">
        <v>115</v>
      </c>
      <c r="B97" s="8">
        <v>25149</v>
      </c>
      <c r="C97" s="6">
        <f t="shared" si="0"/>
        <v>12.744045488886238</v>
      </c>
      <c r="D97" s="8">
        <v>17.537187800000542</v>
      </c>
      <c r="E97" s="6">
        <v>26173</v>
      </c>
      <c r="F97" s="8">
        <f t="shared" si="1"/>
        <v>16.157872616818857</v>
      </c>
      <c r="G97" s="6">
        <v>19.269284699985288</v>
      </c>
      <c r="H97" s="16">
        <v>21944</v>
      </c>
      <c r="I97" s="18">
        <v>1.44</v>
      </c>
      <c r="J97" s="19">
        <v>87.5</v>
      </c>
      <c r="K97" s="16">
        <v>22268.9</v>
      </c>
    </row>
    <row r="98" spans="1:11" ht="15.75" customHeight="1" x14ac:dyDescent="0.25">
      <c r="A98" s="1" t="s">
        <v>116</v>
      </c>
      <c r="B98" s="8">
        <v>29731</v>
      </c>
      <c r="C98" s="6">
        <f t="shared" si="0"/>
        <v>5.0553294541051423</v>
      </c>
      <c r="D98" s="8">
        <v>9.3539419000007911</v>
      </c>
      <c r="E98" s="6">
        <v>30194</v>
      </c>
      <c r="F98" s="8">
        <f t="shared" si="1"/>
        <v>6.5112273961714244</v>
      </c>
      <c r="G98" s="6">
        <v>10.60115970001789</v>
      </c>
      <c r="H98" s="16">
        <v>28228</v>
      </c>
      <c r="I98" s="18">
        <v>0.02</v>
      </c>
      <c r="J98" s="19">
        <v>56.3</v>
      </c>
      <c r="K98" s="16">
        <v>28234.9</v>
      </c>
    </row>
    <row r="99" spans="1:11" ht="15.75" customHeight="1" x14ac:dyDescent="0.25">
      <c r="A99" s="1" t="s">
        <v>117</v>
      </c>
      <c r="B99" s="8">
        <v>28064</v>
      </c>
      <c r="C99" s="6">
        <f t="shared" si="0"/>
        <v>10.554446978335234</v>
      </c>
      <c r="D99" s="8">
        <v>13.570205000010899</v>
      </c>
      <c r="E99" s="6">
        <v>29548</v>
      </c>
      <c r="F99" s="8">
        <f t="shared" si="1"/>
        <v>15.046703668607012</v>
      </c>
      <c r="G99" s="6">
        <v>12.911824000009799</v>
      </c>
      <c r="H99" s="16">
        <v>25102</v>
      </c>
      <c r="I99" s="18">
        <v>0.59</v>
      </c>
      <c r="J99" s="19">
        <v>72.72</v>
      </c>
      <c r="K99" s="16">
        <v>25250.799999999999</v>
      </c>
    </row>
    <row r="100" spans="1:11" ht="15.75" customHeight="1" x14ac:dyDescent="0.25">
      <c r="A100" s="1" t="s">
        <v>118</v>
      </c>
      <c r="B100" s="8">
        <v>23712</v>
      </c>
      <c r="C100" s="6">
        <f t="shared" si="0"/>
        <v>8.2995951417004061</v>
      </c>
      <c r="D100" s="8">
        <v>21.92693650000729</v>
      </c>
      <c r="E100" s="6">
        <v>22944</v>
      </c>
      <c r="F100" s="8">
        <f t="shared" si="1"/>
        <v>5.2301255230125516</v>
      </c>
      <c r="G100" s="6">
        <v>29.906324500014311</v>
      </c>
      <c r="H100" s="16">
        <v>21744</v>
      </c>
      <c r="I100" s="18">
        <v>0.01</v>
      </c>
      <c r="J100" s="19">
        <v>94.9</v>
      </c>
      <c r="K100" s="16">
        <v>21747</v>
      </c>
    </row>
    <row r="101" spans="1:11" ht="15.75" customHeight="1" x14ac:dyDescent="0.25">
      <c r="A101" s="1" t="s">
        <v>119</v>
      </c>
      <c r="B101" s="8">
        <v>24127</v>
      </c>
      <c r="C101" s="6">
        <f t="shared" si="0"/>
        <v>11.742031748663322</v>
      </c>
      <c r="D101" s="8">
        <v>21.166113699990088</v>
      </c>
      <c r="E101" s="6">
        <v>21752</v>
      </c>
      <c r="F101" s="8">
        <f t="shared" si="1"/>
        <v>2.1055535123207063</v>
      </c>
      <c r="G101" s="6">
        <v>23.32211569999345</v>
      </c>
      <c r="H101" s="16">
        <v>21294</v>
      </c>
      <c r="I101" s="18">
        <v>0.2</v>
      </c>
      <c r="J101" s="19">
        <v>101.54</v>
      </c>
      <c r="K101" s="16">
        <v>21336.6</v>
      </c>
    </row>
    <row r="102" spans="1:11" ht="15.75" customHeight="1" x14ac:dyDescent="0.25">
      <c r="A102" s="1" t="s">
        <v>120</v>
      </c>
      <c r="B102" s="8">
        <v>39266</v>
      </c>
      <c r="C102" s="6">
        <f t="shared" si="0"/>
        <v>2.9440228187235777</v>
      </c>
      <c r="D102" s="8">
        <v>10.90496220000205</v>
      </c>
      <c r="E102" s="6">
        <v>39414</v>
      </c>
      <c r="F102" s="8">
        <f t="shared" si="1"/>
        <v>3.3084690719033847</v>
      </c>
      <c r="G102" s="6">
        <v>12.069860599993261</v>
      </c>
      <c r="H102" s="16">
        <v>38110</v>
      </c>
      <c r="I102" s="18">
        <v>0.47</v>
      </c>
      <c r="J102" s="19">
        <v>72.38</v>
      </c>
      <c r="K102" s="16">
        <v>38290.300000000003</v>
      </c>
    </row>
    <row r="103" spans="1:11" ht="15.75" customHeight="1" x14ac:dyDescent="0.25">
      <c r="A103" s="1" t="s">
        <v>121</v>
      </c>
      <c r="B103" s="8">
        <v>30298</v>
      </c>
      <c r="C103" s="6">
        <f t="shared" si="0"/>
        <v>8.4626047923955383</v>
      </c>
      <c r="D103" s="8">
        <v>17.723927500002901</v>
      </c>
      <c r="E103" s="6">
        <v>28915</v>
      </c>
      <c r="F103" s="8">
        <f t="shared" si="1"/>
        <v>4.0843852671623724</v>
      </c>
      <c r="G103" s="6">
        <v>14.08363189999363</v>
      </c>
      <c r="H103" s="16">
        <v>27734</v>
      </c>
      <c r="I103" s="18">
        <v>0.54</v>
      </c>
      <c r="J103" s="19">
        <v>89.45</v>
      </c>
      <c r="K103" s="16">
        <v>27886.3</v>
      </c>
    </row>
    <row r="104" spans="1:11" ht="15.75" customHeight="1" x14ac:dyDescent="0.25">
      <c r="A104" s="1" t="s">
        <v>122</v>
      </c>
      <c r="B104" s="8">
        <v>52140</v>
      </c>
      <c r="C104" s="6">
        <f t="shared" si="0"/>
        <v>5.8304564633678559</v>
      </c>
      <c r="D104" s="8">
        <v>9.7529005999967922</v>
      </c>
      <c r="E104" s="6">
        <v>52554</v>
      </c>
      <c r="F104" s="8">
        <f t="shared" si="1"/>
        <v>6.5722875518514288</v>
      </c>
      <c r="G104" s="6">
        <v>12.08160079998197</v>
      </c>
      <c r="H104" s="16">
        <v>49100</v>
      </c>
      <c r="I104" s="18">
        <v>0.25</v>
      </c>
      <c r="J104" s="19">
        <v>67.099999999999994</v>
      </c>
      <c r="K104" s="16">
        <v>49222.8</v>
      </c>
    </row>
    <row r="105" spans="1:11" ht="15.75" customHeight="1" x14ac:dyDescent="0.25">
      <c r="A105" s="1" t="s">
        <v>123</v>
      </c>
      <c r="B105" s="8">
        <v>40661</v>
      </c>
      <c r="C105" s="6">
        <f t="shared" si="0"/>
        <v>15.776788568898944</v>
      </c>
      <c r="D105" s="8">
        <v>14.818429499995551</v>
      </c>
      <c r="E105" s="6">
        <v>37864</v>
      </c>
      <c r="F105" s="8">
        <f t="shared" si="1"/>
        <v>9.555250369744348</v>
      </c>
      <c r="G105" s="6">
        <v>12.480340700014491</v>
      </c>
      <c r="H105" s="16">
        <v>34246</v>
      </c>
      <c r="I105" s="18">
        <v>0.48</v>
      </c>
      <c r="J105" s="19">
        <v>71.56</v>
      </c>
      <c r="K105" s="16">
        <v>34414.9</v>
      </c>
    </row>
    <row r="106" spans="1:11" ht="15.75" customHeight="1" x14ac:dyDescent="0.25">
      <c r="A106" s="1" t="s">
        <v>124</v>
      </c>
      <c r="B106" s="8">
        <v>30079</v>
      </c>
      <c r="C106" s="6">
        <f t="shared" si="0"/>
        <v>14.81099770604076</v>
      </c>
      <c r="D106" s="8">
        <v>17.184915400008322</v>
      </c>
      <c r="E106" s="6">
        <v>27401</v>
      </c>
      <c r="F106" s="8">
        <f t="shared" si="1"/>
        <v>6.4851647750082115</v>
      </c>
      <c r="G106" s="6">
        <v>18.805641100014331</v>
      </c>
      <c r="H106" s="16">
        <v>25624</v>
      </c>
      <c r="I106" s="18">
        <v>0.42</v>
      </c>
      <c r="J106" s="19">
        <v>86.38</v>
      </c>
      <c r="K106" s="16">
        <v>25733.4</v>
      </c>
    </row>
    <row r="107" spans="1:11" ht="15.75" customHeight="1" x14ac:dyDescent="0.25">
      <c r="A107" s="1" t="s">
        <v>125</v>
      </c>
      <c r="B107" s="8">
        <v>25281</v>
      </c>
      <c r="C107" s="6">
        <f t="shared" si="0"/>
        <v>12.709149163403346</v>
      </c>
      <c r="D107" s="8">
        <v>24.47736660001101</v>
      </c>
      <c r="E107" s="6">
        <v>22532</v>
      </c>
      <c r="F107" s="8">
        <f t="shared" si="1"/>
        <v>2.0592934493165278</v>
      </c>
      <c r="G107" s="6">
        <v>25.652275600004941</v>
      </c>
      <c r="H107" s="16">
        <v>22068</v>
      </c>
      <c r="I107" s="18">
        <v>0.35</v>
      </c>
      <c r="J107" s="19">
        <v>89.83</v>
      </c>
      <c r="K107" s="16">
        <v>22146.9</v>
      </c>
    </row>
    <row r="108" spans="1:11" ht="15.75" customHeight="1" x14ac:dyDescent="0.25">
      <c r="A108" s="1" t="s">
        <v>126</v>
      </c>
      <c r="B108" s="8">
        <v>25669</v>
      </c>
      <c r="C108" s="6">
        <f t="shared" si="0"/>
        <v>5.0099341618294444</v>
      </c>
      <c r="D108" s="8">
        <v>14.93844069998886</v>
      </c>
      <c r="E108" s="6">
        <v>25788</v>
      </c>
      <c r="F108" s="8">
        <f t="shared" si="1"/>
        <v>5.4482705134170928</v>
      </c>
      <c r="G108" s="6">
        <v>13.940756399999371</v>
      </c>
      <c r="H108" s="16">
        <v>24383</v>
      </c>
      <c r="I108" s="18">
        <v>0.09</v>
      </c>
      <c r="J108" s="19">
        <v>66.540000000000006</v>
      </c>
      <c r="K108" s="16">
        <v>24405.4</v>
      </c>
    </row>
    <row r="109" spans="1:11" ht="15.75" customHeight="1" x14ac:dyDescent="0.25">
      <c r="A109" s="1" t="s">
        <v>127</v>
      </c>
      <c r="B109" s="8">
        <v>23771</v>
      </c>
      <c r="C109" s="6">
        <f t="shared" si="0"/>
        <v>6.9412309116149924</v>
      </c>
      <c r="D109" s="8">
        <v>23.98298200000136</v>
      </c>
      <c r="E109" s="6">
        <v>24216</v>
      </c>
      <c r="F109" s="8">
        <f t="shared" si="1"/>
        <v>8.6513049223653784</v>
      </c>
      <c r="G109" s="6">
        <v>23.76114479999524</v>
      </c>
      <c r="H109" s="16">
        <v>22121</v>
      </c>
      <c r="I109" s="18">
        <v>0.02</v>
      </c>
      <c r="J109" s="19">
        <v>76.260000000000005</v>
      </c>
      <c r="K109" s="16">
        <v>22125</v>
      </c>
    </row>
    <row r="110" spans="1:11" ht="15.75" customHeight="1" x14ac:dyDescent="0.25">
      <c r="A110" s="1" t="s">
        <v>128</v>
      </c>
      <c r="B110" s="8">
        <v>27062</v>
      </c>
      <c r="C110" s="6">
        <f t="shared" si="0"/>
        <v>2.2984258369669646</v>
      </c>
      <c r="D110" s="8">
        <v>10.886857000004969</v>
      </c>
      <c r="E110" s="6">
        <v>27118</v>
      </c>
      <c r="F110" s="8">
        <f t="shared" si="1"/>
        <v>2.5001843793790104</v>
      </c>
      <c r="G110" s="6">
        <v>10.335566800000381</v>
      </c>
      <c r="H110" s="16">
        <v>26440</v>
      </c>
      <c r="I110" s="18">
        <v>0.01</v>
      </c>
      <c r="J110" s="19">
        <v>57.5</v>
      </c>
      <c r="K110" s="16">
        <v>26443.3</v>
      </c>
    </row>
    <row r="111" spans="1:11" ht="15.75" customHeight="1" x14ac:dyDescent="0.25">
      <c r="A111" s="1" t="s">
        <v>129</v>
      </c>
      <c r="B111" s="8">
        <v>25568</v>
      </c>
      <c r="C111" s="6">
        <f t="shared" si="0"/>
        <v>7.6540988735919901</v>
      </c>
      <c r="D111" s="8">
        <v>15.8793571999995</v>
      </c>
      <c r="E111" s="6">
        <v>27093</v>
      </c>
      <c r="F111" s="8">
        <f t="shared" si="1"/>
        <v>12.852028199165835</v>
      </c>
      <c r="G111" s="6">
        <v>14.25725620001322</v>
      </c>
      <c r="H111" s="16">
        <v>23611</v>
      </c>
      <c r="I111" s="18">
        <v>0.2</v>
      </c>
      <c r="J111" s="19">
        <v>62.91</v>
      </c>
      <c r="K111" s="16">
        <v>23658.1</v>
      </c>
    </row>
    <row r="112" spans="1:11" ht="15.75" customHeight="1" x14ac:dyDescent="0.25">
      <c r="A112" s="1" t="s">
        <v>130</v>
      </c>
      <c r="B112" s="8">
        <v>23457</v>
      </c>
      <c r="C112" s="6">
        <f t="shared" si="0"/>
        <v>4.2716459905358741</v>
      </c>
      <c r="D112" s="8">
        <v>28.198633700012579</v>
      </c>
      <c r="E112" s="6">
        <v>26252</v>
      </c>
      <c r="F112" s="8">
        <f t="shared" si="1"/>
        <v>14.463659911625781</v>
      </c>
      <c r="G112" s="6">
        <v>16.984410100005331</v>
      </c>
      <c r="H112" s="16">
        <v>22455</v>
      </c>
      <c r="I112" s="18">
        <v>0.47</v>
      </c>
      <c r="J112" s="19">
        <v>76.540000000000006</v>
      </c>
      <c r="K112" s="16">
        <v>22560.6</v>
      </c>
    </row>
    <row r="113" spans="1:11" ht="15.75" customHeight="1" x14ac:dyDescent="0.25">
      <c r="A113" s="1" t="s">
        <v>131</v>
      </c>
      <c r="B113" s="8">
        <v>24895</v>
      </c>
      <c r="C113" s="6">
        <f t="shared" si="0"/>
        <v>11.355693914440652</v>
      </c>
      <c r="D113" s="8">
        <v>24.466827199998079</v>
      </c>
      <c r="E113" s="6">
        <v>22309</v>
      </c>
      <c r="F113" s="8">
        <f t="shared" si="1"/>
        <v>1.0802815007396118</v>
      </c>
      <c r="G113" s="6">
        <v>28.16076570001314</v>
      </c>
      <c r="H113" s="16">
        <v>22068</v>
      </c>
      <c r="I113" s="18">
        <v>0.28000000000000003</v>
      </c>
      <c r="J113" s="19">
        <v>100.05</v>
      </c>
      <c r="K113" s="16">
        <v>22129.1</v>
      </c>
    </row>
    <row r="114" spans="1:11" ht="15.75" customHeight="1" x14ac:dyDescent="0.25">
      <c r="A114" s="1" t="s">
        <v>132</v>
      </c>
      <c r="B114" s="8">
        <v>40649</v>
      </c>
      <c r="C114" s="6">
        <f t="shared" si="0"/>
        <v>6.6766710128170441</v>
      </c>
      <c r="D114" s="8">
        <v>14.69081980000192</v>
      </c>
      <c r="E114" s="6">
        <v>39387</v>
      </c>
      <c r="F114" s="8">
        <f t="shared" si="1"/>
        <v>3.6864955442150968</v>
      </c>
      <c r="G114" s="6">
        <v>12.45655140001327</v>
      </c>
      <c r="H114" s="16">
        <v>37935</v>
      </c>
      <c r="I114" s="18">
        <v>0.16</v>
      </c>
      <c r="J114" s="19">
        <v>67.78</v>
      </c>
      <c r="K114" s="16">
        <v>37996</v>
      </c>
    </row>
    <row r="115" spans="1:11" ht="15.75" customHeight="1" x14ac:dyDescent="0.25">
      <c r="A115" s="1" t="s">
        <v>133</v>
      </c>
      <c r="B115" s="8">
        <v>33385</v>
      </c>
      <c r="C115" s="6">
        <f t="shared" si="0"/>
        <v>12.059308072487644</v>
      </c>
      <c r="D115" s="8">
        <v>15.61409570000251</v>
      </c>
      <c r="E115" s="6">
        <v>29911</v>
      </c>
      <c r="F115" s="8">
        <f t="shared" si="1"/>
        <v>1.8454749088963927</v>
      </c>
      <c r="G115" s="6">
        <v>19.83321949999663</v>
      </c>
      <c r="H115" s="16">
        <v>29359</v>
      </c>
      <c r="I115" s="18">
        <v>0.44</v>
      </c>
      <c r="J115" s="19">
        <v>90.94</v>
      </c>
      <c r="K115" s="16">
        <v>29489.200000000001</v>
      </c>
    </row>
    <row r="116" spans="1:11" ht="15.75" customHeight="1" x14ac:dyDescent="0.25">
      <c r="A116" s="1" t="s">
        <v>134</v>
      </c>
      <c r="B116" s="8">
        <v>57644</v>
      </c>
      <c r="C116" s="6">
        <f t="shared" si="0"/>
        <v>5.9798070918048714</v>
      </c>
      <c r="D116" s="8">
        <v>10.20131439999386</v>
      </c>
      <c r="E116" s="6">
        <v>58250</v>
      </c>
      <c r="F116" s="8">
        <f t="shared" si="1"/>
        <v>6.9579399141630898</v>
      </c>
      <c r="G116" s="6">
        <v>11.137879400019299</v>
      </c>
      <c r="H116" s="16">
        <v>54197</v>
      </c>
      <c r="I116" s="18">
        <v>0.16</v>
      </c>
      <c r="J116" s="19">
        <v>66.37</v>
      </c>
      <c r="K116" s="16">
        <v>54285.2</v>
      </c>
    </row>
    <row r="117" spans="1:11" ht="15.75" customHeight="1" x14ac:dyDescent="0.25">
      <c r="A117" s="1" t="s">
        <v>135</v>
      </c>
      <c r="B117" s="8">
        <v>42240</v>
      </c>
      <c r="C117" s="6">
        <f t="shared" si="0"/>
        <v>9.1879734848484844</v>
      </c>
      <c r="D117" s="8">
        <v>12.39133930001117</v>
      </c>
      <c r="E117" s="6">
        <v>40203</v>
      </c>
      <c r="F117" s="8">
        <f t="shared" si="1"/>
        <v>4.5867223839016988</v>
      </c>
      <c r="G117" s="6">
        <v>13.62857059997623</v>
      </c>
      <c r="H117" s="16">
        <v>38359</v>
      </c>
      <c r="I117" s="18">
        <v>0.88</v>
      </c>
      <c r="J117" s="19">
        <v>76.58</v>
      </c>
      <c r="K117" s="16">
        <v>38700.800000000003</v>
      </c>
    </row>
    <row r="118" spans="1:11" ht="15.75" customHeight="1" x14ac:dyDescent="0.25">
      <c r="A118" s="1" t="s">
        <v>136</v>
      </c>
      <c r="B118" s="8">
        <v>27956</v>
      </c>
      <c r="C118" s="6">
        <f t="shared" si="0"/>
        <v>2.5039347546143937</v>
      </c>
      <c r="D118" s="8">
        <v>19.85373200000322</v>
      </c>
      <c r="E118" s="6">
        <v>28689</v>
      </c>
      <c r="F118" s="8">
        <f t="shared" si="1"/>
        <v>4.9949457980410612</v>
      </c>
      <c r="G118" s="6">
        <v>18.915424000006169</v>
      </c>
      <c r="H118" s="16">
        <v>27256</v>
      </c>
      <c r="I118" s="18">
        <v>0.22</v>
      </c>
      <c r="J118" s="19">
        <v>109.86</v>
      </c>
      <c r="K118" s="16">
        <v>27316.3</v>
      </c>
    </row>
    <row r="119" spans="1:11" ht="15.75" customHeight="1" x14ac:dyDescent="0.25">
      <c r="A119" s="1" t="s">
        <v>137</v>
      </c>
      <c r="B119" s="8">
        <v>1365</v>
      </c>
      <c r="C119" s="6">
        <f t="shared" si="0"/>
        <v>6.73992673992674</v>
      </c>
      <c r="D119" s="8">
        <v>1.998473300001933</v>
      </c>
      <c r="E119" s="6">
        <v>1315</v>
      </c>
      <c r="F119" s="8">
        <f t="shared" si="1"/>
        <v>3.1939163498098861</v>
      </c>
      <c r="G119" s="6">
        <v>1.6769600000116041</v>
      </c>
      <c r="H119" s="12">
        <v>1273</v>
      </c>
      <c r="I119" s="10">
        <v>0</v>
      </c>
      <c r="J119" s="12">
        <v>4.6500000000000004</v>
      </c>
      <c r="K119" s="13"/>
    </row>
    <row r="120" spans="1:11" ht="15.75" customHeight="1" x14ac:dyDescent="0.25">
      <c r="A120" s="1" t="s">
        <v>138</v>
      </c>
      <c r="B120" s="8">
        <v>1347</v>
      </c>
      <c r="C120" s="6">
        <f t="shared" si="0"/>
        <v>0</v>
      </c>
      <c r="D120" s="8">
        <v>0.82867640000768006</v>
      </c>
      <c r="E120" s="6">
        <v>1376</v>
      </c>
      <c r="F120" s="8">
        <f t="shared" si="1"/>
        <v>2.1075581395348837</v>
      </c>
      <c r="G120" s="6">
        <v>1.022647200006759</v>
      </c>
      <c r="H120" s="12">
        <v>1347</v>
      </c>
      <c r="I120" s="10">
        <v>0</v>
      </c>
      <c r="J120" s="12">
        <v>3.56</v>
      </c>
      <c r="K120" s="13"/>
    </row>
    <row r="121" spans="1:11" ht="15.75" customHeight="1" x14ac:dyDescent="0.25">
      <c r="A121" s="1" t="s">
        <v>139</v>
      </c>
      <c r="B121" s="8">
        <v>1556</v>
      </c>
      <c r="C121" s="6">
        <f t="shared" si="0"/>
        <v>3.2776349614395883</v>
      </c>
      <c r="D121" s="8">
        <v>0.97072660000412725</v>
      </c>
      <c r="E121" s="6">
        <v>1505</v>
      </c>
      <c r="F121" s="8">
        <f t="shared" si="1"/>
        <v>0</v>
      </c>
      <c r="G121" s="6">
        <v>1.105274000001373</v>
      </c>
      <c r="H121" s="12">
        <v>1505</v>
      </c>
      <c r="I121" s="10">
        <v>0</v>
      </c>
      <c r="J121" s="12">
        <v>3.67</v>
      </c>
      <c r="K121" s="13"/>
    </row>
    <row r="122" spans="1:11" ht="15.75" customHeight="1" x14ac:dyDescent="0.25">
      <c r="A122" s="1" t="s">
        <v>140</v>
      </c>
      <c r="B122" s="8">
        <v>1512</v>
      </c>
      <c r="C122" s="6">
        <f t="shared" si="0"/>
        <v>2.9761904761904758</v>
      </c>
      <c r="D122" s="8">
        <v>1.039158899991889</v>
      </c>
      <c r="E122" s="6">
        <v>1501</v>
      </c>
      <c r="F122" s="8">
        <f t="shared" si="1"/>
        <v>2.2651565622918057</v>
      </c>
      <c r="G122" s="6">
        <v>0.80507900001248345</v>
      </c>
      <c r="H122" s="12">
        <v>1467</v>
      </c>
      <c r="I122" s="10">
        <v>0</v>
      </c>
      <c r="J122" s="12">
        <v>3.26</v>
      </c>
      <c r="K122" s="13"/>
    </row>
    <row r="123" spans="1:11" ht="15.75" customHeight="1" x14ac:dyDescent="0.25">
      <c r="A123" s="1" t="s">
        <v>141</v>
      </c>
      <c r="B123" s="8">
        <v>1301</v>
      </c>
      <c r="C123" s="6">
        <f t="shared" si="0"/>
        <v>0</v>
      </c>
      <c r="D123" s="8">
        <v>1.489327700008289</v>
      </c>
      <c r="E123" s="6">
        <v>1310</v>
      </c>
      <c r="F123" s="8">
        <f t="shared" si="1"/>
        <v>0.68702290076335881</v>
      </c>
      <c r="G123" s="6">
        <v>1.198626900004456</v>
      </c>
      <c r="H123" s="12">
        <v>1301</v>
      </c>
      <c r="I123" s="10">
        <v>0.14000000000000001</v>
      </c>
      <c r="J123" s="12">
        <v>4.3099999999999996</v>
      </c>
      <c r="K123" s="13"/>
    </row>
    <row r="124" spans="1:11" ht="15.75" customHeight="1" x14ac:dyDescent="0.25">
      <c r="A124" s="1" t="s">
        <v>142</v>
      </c>
      <c r="B124" s="8">
        <v>1365</v>
      </c>
      <c r="C124" s="6">
        <f t="shared" si="0"/>
        <v>1.5384615384615385</v>
      </c>
      <c r="D124" s="8">
        <v>1.370933700003661</v>
      </c>
      <c r="E124" s="6">
        <v>1411</v>
      </c>
      <c r="F124" s="8">
        <f t="shared" si="1"/>
        <v>4.7484053862508864</v>
      </c>
      <c r="G124" s="6">
        <v>1.2444902000133879</v>
      </c>
      <c r="H124" s="12">
        <v>1344</v>
      </c>
      <c r="I124" s="10">
        <v>0</v>
      </c>
      <c r="J124" s="12">
        <v>4.3</v>
      </c>
      <c r="K124" s="13"/>
    </row>
    <row r="125" spans="1:11" ht="15.75" customHeight="1" x14ac:dyDescent="0.25">
      <c r="A125" s="1" t="s">
        <v>143</v>
      </c>
      <c r="B125" s="8">
        <v>1469</v>
      </c>
      <c r="C125" s="6">
        <f t="shared" si="0"/>
        <v>7.6242341729067391</v>
      </c>
      <c r="D125" s="8">
        <v>1.07656549999956</v>
      </c>
      <c r="E125" s="6">
        <v>1441</v>
      </c>
      <c r="F125" s="8">
        <f t="shared" si="1"/>
        <v>5.829285218598196</v>
      </c>
      <c r="G125" s="6">
        <v>1.0079625000071251</v>
      </c>
      <c r="H125" s="12">
        <v>1357</v>
      </c>
      <c r="I125" s="10">
        <v>0</v>
      </c>
      <c r="J125" s="12">
        <v>4.26</v>
      </c>
      <c r="K125" s="13"/>
    </row>
    <row r="126" spans="1:11" ht="15.75" customHeight="1" x14ac:dyDescent="0.25">
      <c r="A126" s="1" t="s">
        <v>144</v>
      </c>
      <c r="B126" s="8">
        <v>1600</v>
      </c>
      <c r="C126" s="6">
        <f t="shared" si="0"/>
        <v>2.4375</v>
      </c>
      <c r="D126" s="8">
        <v>0.84667749999789521</v>
      </c>
      <c r="E126" s="6">
        <v>1574</v>
      </c>
      <c r="F126" s="8">
        <f t="shared" si="1"/>
        <v>0.8259212198221092</v>
      </c>
      <c r="G126" s="6">
        <v>0.71011580000049435</v>
      </c>
      <c r="H126" s="12">
        <v>1561</v>
      </c>
      <c r="I126" s="10">
        <v>0</v>
      </c>
      <c r="J126" s="12">
        <v>3.01</v>
      </c>
      <c r="K126" s="13"/>
    </row>
    <row r="127" spans="1:11" ht="15.75" customHeight="1" x14ac:dyDescent="0.25">
      <c r="A127" s="1" t="s">
        <v>145</v>
      </c>
      <c r="B127" s="8">
        <v>1603</v>
      </c>
      <c r="C127" s="6">
        <f t="shared" si="0"/>
        <v>3.9301310043668125</v>
      </c>
      <c r="D127" s="8">
        <v>0.88629009999567643</v>
      </c>
      <c r="E127" s="6">
        <v>1540</v>
      </c>
      <c r="F127" s="8">
        <f t="shared" si="1"/>
        <v>0</v>
      </c>
      <c r="G127" s="6">
        <v>0.81772799999453127</v>
      </c>
      <c r="H127" s="12">
        <v>1540</v>
      </c>
      <c r="I127" s="10">
        <v>0</v>
      </c>
      <c r="J127" s="12">
        <v>2.89</v>
      </c>
      <c r="K127" s="13"/>
    </row>
    <row r="128" spans="1:11" ht="15.75" customHeight="1" x14ac:dyDescent="0.25">
      <c r="A128" s="1" t="s">
        <v>146</v>
      </c>
      <c r="B128" s="8">
        <v>1546</v>
      </c>
      <c r="C128" s="6">
        <f t="shared" si="0"/>
        <v>0.90556274256144886</v>
      </c>
      <c r="D128" s="8">
        <v>0.72484359999361914</v>
      </c>
      <c r="E128" s="6">
        <v>1669</v>
      </c>
      <c r="F128" s="8">
        <f t="shared" si="1"/>
        <v>8.2085080886758526</v>
      </c>
      <c r="G128" s="6">
        <v>0.75005120001151226</v>
      </c>
      <c r="H128" s="12">
        <v>1532</v>
      </c>
      <c r="I128" s="10">
        <v>0</v>
      </c>
      <c r="J128" s="12">
        <v>3.03</v>
      </c>
      <c r="K128" s="13"/>
    </row>
    <row r="129" spans="1:11" ht="15.75" customHeight="1" x14ac:dyDescent="0.25">
      <c r="A129" s="1" t="s">
        <v>147</v>
      </c>
      <c r="B129" s="8">
        <v>1501</v>
      </c>
      <c r="C129" s="6">
        <f t="shared" si="0"/>
        <v>4.4636908727514992</v>
      </c>
      <c r="D129" s="8">
        <v>1.0194186000007901</v>
      </c>
      <c r="E129" s="6">
        <v>1479</v>
      </c>
      <c r="F129" s="8">
        <f t="shared" si="1"/>
        <v>3.0425963488843815</v>
      </c>
      <c r="G129" s="6">
        <v>1.0467941999959289</v>
      </c>
      <c r="H129" s="12">
        <v>1434</v>
      </c>
      <c r="I129" s="10">
        <v>0</v>
      </c>
      <c r="J129" s="12">
        <v>4.1100000000000003</v>
      </c>
      <c r="K129" s="13"/>
    </row>
    <row r="130" spans="1:11" ht="15.75" customHeight="1" x14ac:dyDescent="0.25">
      <c r="A130" s="1" t="s">
        <v>148</v>
      </c>
      <c r="B130" s="8">
        <v>1536</v>
      </c>
      <c r="C130" s="6">
        <f t="shared" si="0"/>
        <v>4.3619791666666661</v>
      </c>
      <c r="D130" s="8">
        <v>0.86425709999457467</v>
      </c>
      <c r="E130" s="6">
        <v>1532</v>
      </c>
      <c r="F130" s="8">
        <f t="shared" si="1"/>
        <v>4.1122715404699735</v>
      </c>
      <c r="G130" s="6">
        <v>1.1805464000208299</v>
      </c>
      <c r="H130" s="12">
        <v>1469</v>
      </c>
      <c r="I130" s="10">
        <v>0</v>
      </c>
      <c r="J130" s="12">
        <v>4.3</v>
      </c>
      <c r="K130" s="13"/>
    </row>
    <row r="131" spans="1:11" ht="15.75" customHeight="1" x14ac:dyDescent="0.25">
      <c r="A131" s="1" t="s">
        <v>149</v>
      </c>
      <c r="B131" s="8">
        <v>1458</v>
      </c>
      <c r="C131" s="6">
        <f t="shared" si="0"/>
        <v>8.5048010973936901</v>
      </c>
      <c r="D131" s="8">
        <v>1.1571373000042511</v>
      </c>
      <c r="E131" s="6">
        <v>1381</v>
      </c>
      <c r="F131" s="8">
        <f t="shared" si="1"/>
        <v>3.4033309196234609</v>
      </c>
      <c r="G131" s="6">
        <v>1.371695499983616</v>
      </c>
      <c r="H131" s="12">
        <v>1334</v>
      </c>
      <c r="I131" s="10">
        <v>0</v>
      </c>
      <c r="J131" s="12">
        <v>4.1100000000000003</v>
      </c>
      <c r="K131" s="13"/>
    </row>
    <row r="132" spans="1:11" ht="15.75" customHeight="1" x14ac:dyDescent="0.25">
      <c r="A132" s="1" t="s">
        <v>150</v>
      </c>
      <c r="B132" s="8">
        <v>1327</v>
      </c>
      <c r="C132" s="6">
        <f t="shared" si="0"/>
        <v>4.069329314242653</v>
      </c>
      <c r="D132" s="8">
        <v>1.711131400006707</v>
      </c>
      <c r="E132" s="6">
        <v>1351</v>
      </c>
      <c r="F132" s="8">
        <f t="shared" si="1"/>
        <v>5.7735011102886746</v>
      </c>
      <c r="G132" s="6">
        <v>1.98717310000211</v>
      </c>
      <c r="H132" s="12">
        <v>1273</v>
      </c>
      <c r="I132" s="10">
        <v>0</v>
      </c>
      <c r="J132" s="12">
        <v>5.2</v>
      </c>
      <c r="K132" s="13"/>
    </row>
    <row r="133" spans="1:11" ht="15.75" customHeight="1" x14ac:dyDescent="0.25">
      <c r="A133" s="1" t="s">
        <v>151</v>
      </c>
      <c r="B133" s="8">
        <v>1314</v>
      </c>
      <c r="C133" s="6">
        <f t="shared" si="0"/>
        <v>3.1202435312024352</v>
      </c>
      <c r="D133" s="8">
        <v>2.062680600007297</v>
      </c>
      <c r="E133" s="6">
        <v>1385</v>
      </c>
      <c r="F133" s="8">
        <f t="shared" si="1"/>
        <v>8.0866425992779778</v>
      </c>
      <c r="G133" s="6">
        <v>1.4745795000053481</v>
      </c>
      <c r="H133" s="12">
        <v>1273</v>
      </c>
      <c r="I133" s="10">
        <v>0</v>
      </c>
      <c r="J133" s="12">
        <v>4.51</v>
      </c>
      <c r="K133" s="13"/>
    </row>
    <row r="134" spans="1:11" ht="15.75" customHeight="1" x14ac:dyDescent="0.25">
      <c r="A134" s="1" t="s">
        <v>152</v>
      </c>
      <c r="B134" s="8">
        <v>1384</v>
      </c>
      <c r="C134" s="6">
        <f t="shared" si="0"/>
        <v>5.997109826589595</v>
      </c>
      <c r="D134" s="8">
        <v>1.71023559999594</v>
      </c>
      <c r="E134" s="6">
        <v>1342</v>
      </c>
      <c r="F134" s="8">
        <f t="shared" si="1"/>
        <v>3.0551415797317438</v>
      </c>
      <c r="G134" s="6">
        <v>1.493880800000625</v>
      </c>
      <c r="H134" s="12">
        <v>1301</v>
      </c>
      <c r="I134" s="10">
        <v>0.14000000000000001</v>
      </c>
      <c r="J134" s="12">
        <v>5.2</v>
      </c>
      <c r="K134" s="13"/>
    </row>
    <row r="135" spans="1:11" ht="15.75" customHeight="1" x14ac:dyDescent="0.25">
      <c r="A135" s="1" t="s">
        <v>153</v>
      </c>
      <c r="B135" s="8">
        <v>1419</v>
      </c>
      <c r="C135" s="6">
        <f t="shared" si="0"/>
        <v>10.288935870331219</v>
      </c>
      <c r="D135" s="8">
        <v>1.868967899994459</v>
      </c>
      <c r="E135" s="6">
        <v>1315</v>
      </c>
      <c r="F135" s="8">
        <f t="shared" si="1"/>
        <v>3.1939163498098861</v>
      </c>
      <c r="G135" s="6">
        <v>1.551010900002439</v>
      </c>
      <c r="H135" s="16">
        <v>1273</v>
      </c>
      <c r="I135" s="17">
        <v>0</v>
      </c>
      <c r="J135" s="16">
        <v>5.1100000000000003</v>
      </c>
      <c r="K135" s="13"/>
    </row>
    <row r="136" spans="1:11" ht="15.75" customHeight="1" x14ac:dyDescent="0.25">
      <c r="A136" s="1" t="s">
        <v>154</v>
      </c>
      <c r="B136" s="8">
        <v>2423</v>
      </c>
      <c r="C136" s="6">
        <f t="shared" si="0"/>
        <v>6.892282294676022</v>
      </c>
      <c r="D136" s="8">
        <v>0.70662130000710022</v>
      </c>
      <c r="E136" s="6">
        <v>2401</v>
      </c>
      <c r="F136" s="8">
        <f t="shared" si="1"/>
        <v>6.0391503540191582</v>
      </c>
      <c r="G136" s="6">
        <v>1.0692262999946249</v>
      </c>
      <c r="H136" s="16">
        <v>2256</v>
      </c>
      <c r="I136" s="17">
        <v>0</v>
      </c>
      <c r="J136" s="16">
        <v>3.88</v>
      </c>
      <c r="K136" s="13"/>
    </row>
    <row r="137" spans="1:11" ht="15.75" customHeight="1" x14ac:dyDescent="0.25">
      <c r="A137" s="1" t="s">
        <v>155</v>
      </c>
      <c r="B137" s="8">
        <v>2336</v>
      </c>
      <c r="C137" s="6">
        <f t="shared" si="0"/>
        <v>7.8339041095890405</v>
      </c>
      <c r="D137" s="8">
        <v>1.0691294999996901</v>
      </c>
      <c r="E137" s="6">
        <v>2307</v>
      </c>
      <c r="F137" s="8">
        <f t="shared" si="1"/>
        <v>6.6753359341135674</v>
      </c>
      <c r="G137" s="6">
        <v>0.9149469000112731</v>
      </c>
      <c r="H137" s="16">
        <v>2153</v>
      </c>
      <c r="I137" s="17">
        <v>0</v>
      </c>
      <c r="J137" s="16">
        <v>4.43</v>
      </c>
      <c r="K137" s="13"/>
    </row>
    <row r="138" spans="1:11" ht="15.75" customHeight="1" x14ac:dyDescent="0.25">
      <c r="A138" s="1" t="s">
        <v>156</v>
      </c>
      <c r="B138" s="8">
        <v>2147</v>
      </c>
      <c r="C138" s="6">
        <f t="shared" si="0"/>
        <v>3.1206334420121098</v>
      </c>
      <c r="D138" s="8">
        <v>0.93758820000221021</v>
      </c>
      <c r="E138" s="6">
        <v>2327</v>
      </c>
      <c r="F138" s="8">
        <f t="shared" si="1"/>
        <v>10.614525139664805</v>
      </c>
      <c r="G138" s="6">
        <v>0.76472790000843816</v>
      </c>
      <c r="H138" s="16">
        <v>2080</v>
      </c>
      <c r="I138" s="17">
        <v>0</v>
      </c>
      <c r="J138" s="16">
        <v>3.88</v>
      </c>
      <c r="K138" s="13"/>
    </row>
    <row r="139" spans="1:11" ht="15.75" customHeight="1" x14ac:dyDescent="0.25">
      <c r="A139" s="1" t="s">
        <v>157</v>
      </c>
      <c r="B139" s="8">
        <v>1848</v>
      </c>
      <c r="C139" s="6">
        <f t="shared" si="0"/>
        <v>10.606060606060606</v>
      </c>
      <c r="D139" s="8">
        <v>0.872575000001234</v>
      </c>
      <c r="E139" s="6">
        <v>1802</v>
      </c>
      <c r="F139" s="8">
        <f t="shared" si="1"/>
        <v>8.3240843507214208</v>
      </c>
      <c r="G139" s="6">
        <v>0.9909345000050962</v>
      </c>
      <c r="H139" s="16">
        <v>1652</v>
      </c>
      <c r="I139" s="17">
        <v>0</v>
      </c>
      <c r="J139" s="16">
        <v>4.78</v>
      </c>
      <c r="K139" s="13"/>
    </row>
    <row r="140" spans="1:11" ht="15.75" customHeight="1" x14ac:dyDescent="0.25">
      <c r="A140" s="1" t="s">
        <v>158</v>
      </c>
      <c r="B140" s="8">
        <v>1669</v>
      </c>
      <c r="C140" s="6">
        <f t="shared" si="0"/>
        <v>3.7147992810065906</v>
      </c>
      <c r="D140" s="8">
        <v>1.0320778000022981</v>
      </c>
      <c r="E140" s="6">
        <v>1755</v>
      </c>
      <c r="F140" s="8">
        <f t="shared" si="1"/>
        <v>8.4330484330484339</v>
      </c>
      <c r="G140" s="6">
        <v>0.88785610001650639</v>
      </c>
      <c r="H140" s="16">
        <v>1607</v>
      </c>
      <c r="I140" s="17">
        <v>0.11</v>
      </c>
      <c r="J140" s="16">
        <v>5</v>
      </c>
      <c r="K140" s="13"/>
    </row>
    <row r="141" spans="1:11" ht="15.75" customHeight="1" x14ac:dyDescent="0.25">
      <c r="A141" s="1" t="s">
        <v>159</v>
      </c>
      <c r="B141" s="8">
        <v>1612</v>
      </c>
      <c r="C141" s="6">
        <f t="shared" si="0"/>
        <v>5.3970223325062037</v>
      </c>
      <c r="D141" s="8">
        <v>0.88874039999791421</v>
      </c>
      <c r="E141" s="6">
        <v>1675</v>
      </c>
      <c r="F141" s="8">
        <f t="shared" si="1"/>
        <v>8.9552238805970141</v>
      </c>
      <c r="G141" s="6">
        <v>0.88135919999331236</v>
      </c>
      <c r="H141" s="16">
        <v>1525</v>
      </c>
      <c r="I141" s="17">
        <v>0</v>
      </c>
      <c r="J141" s="16">
        <v>4.33</v>
      </c>
      <c r="K141" s="13"/>
    </row>
    <row r="142" spans="1:11" ht="15.75" customHeight="1" x14ac:dyDescent="0.25">
      <c r="A142" s="1" t="s">
        <v>160</v>
      </c>
      <c r="B142" s="8">
        <v>2593</v>
      </c>
      <c r="C142" s="6">
        <f t="shared" si="0"/>
        <v>8.792903972232935</v>
      </c>
      <c r="D142" s="8">
        <v>0.7201543999981368</v>
      </c>
      <c r="E142" s="6">
        <v>2455</v>
      </c>
      <c r="F142" s="8">
        <f t="shared" si="1"/>
        <v>3.6659877800407332</v>
      </c>
      <c r="G142" s="6">
        <v>0.60714320000261068</v>
      </c>
      <c r="H142" s="16">
        <v>2365</v>
      </c>
      <c r="I142" s="17">
        <v>0</v>
      </c>
      <c r="J142" s="16">
        <v>3.59</v>
      </c>
      <c r="K142" s="13"/>
    </row>
    <row r="143" spans="1:11" ht="15.75" customHeight="1" x14ac:dyDescent="0.25">
      <c r="A143" s="1" t="s">
        <v>161</v>
      </c>
      <c r="B143" s="8">
        <v>2647</v>
      </c>
      <c r="C143" s="6">
        <f t="shared" si="0"/>
        <v>3.0222893842085381</v>
      </c>
      <c r="D143" s="8">
        <v>0.72191920000477694</v>
      </c>
      <c r="E143" s="6">
        <v>2799</v>
      </c>
      <c r="F143" s="8">
        <f t="shared" si="1"/>
        <v>8.2886745266166493</v>
      </c>
      <c r="G143" s="6">
        <v>0.65749779998441227</v>
      </c>
      <c r="H143" s="16">
        <v>2567</v>
      </c>
      <c r="I143" s="17">
        <v>0</v>
      </c>
      <c r="J143" s="16">
        <v>3.21</v>
      </c>
      <c r="K143" s="13"/>
    </row>
    <row r="144" spans="1:11" ht="15.75" customHeight="1" x14ac:dyDescent="0.25">
      <c r="A144" s="1" t="s">
        <v>162</v>
      </c>
      <c r="B144" s="8">
        <v>2744</v>
      </c>
      <c r="C144" s="6">
        <f t="shared" si="0"/>
        <v>1.8221574344023324</v>
      </c>
      <c r="D144" s="8">
        <v>0.8055605999979889</v>
      </c>
      <c r="E144" s="6">
        <v>2751</v>
      </c>
      <c r="F144" s="8">
        <f t="shared" si="1"/>
        <v>2.0719738276990185</v>
      </c>
      <c r="G144" s="6">
        <v>0.73375730001134798</v>
      </c>
      <c r="H144" s="16">
        <v>2694</v>
      </c>
      <c r="I144" s="17">
        <v>0.03</v>
      </c>
      <c r="J144" s="16">
        <v>3.72</v>
      </c>
      <c r="K144" s="13"/>
    </row>
    <row r="145" spans="1:11" ht="15.75" customHeight="1" x14ac:dyDescent="0.25">
      <c r="A145" s="1" t="s">
        <v>163</v>
      </c>
      <c r="B145" s="8">
        <v>2030</v>
      </c>
      <c r="C145" s="6">
        <f t="shared" si="0"/>
        <v>10.738916256157635</v>
      </c>
      <c r="D145" s="8">
        <v>0.90164830000139773</v>
      </c>
      <c r="E145" s="6">
        <v>1972</v>
      </c>
      <c r="F145" s="8">
        <f t="shared" si="1"/>
        <v>8.1135902636916839</v>
      </c>
      <c r="G145" s="6">
        <v>0.81739609999931417</v>
      </c>
      <c r="H145" s="16">
        <v>1812</v>
      </c>
      <c r="I145" s="17">
        <v>0</v>
      </c>
      <c r="J145" s="16">
        <v>4.08</v>
      </c>
      <c r="K145" s="13"/>
    </row>
    <row r="146" spans="1:11" ht="15.75" customHeight="1" x14ac:dyDescent="0.25">
      <c r="A146" s="1" t="s">
        <v>164</v>
      </c>
      <c r="B146" s="8">
        <v>1958</v>
      </c>
      <c r="C146" s="6">
        <f t="shared" si="0"/>
        <v>2.7068437180796732</v>
      </c>
      <c r="D146" s="8">
        <v>0.86592379999638069</v>
      </c>
      <c r="E146" s="6">
        <v>2118</v>
      </c>
      <c r="F146" s="8">
        <f t="shared" si="1"/>
        <v>10.056657223796034</v>
      </c>
      <c r="G146" s="6">
        <v>0.98826070001814514</v>
      </c>
      <c r="H146" s="16">
        <v>1905</v>
      </c>
      <c r="I146" s="17">
        <v>0</v>
      </c>
      <c r="J146" s="16">
        <v>4.32</v>
      </c>
      <c r="K146" s="13"/>
    </row>
    <row r="147" spans="1:11" ht="15.75" customHeight="1" x14ac:dyDescent="0.25">
      <c r="A147" s="1" t="s">
        <v>165</v>
      </c>
      <c r="B147" s="8">
        <v>1935</v>
      </c>
      <c r="C147" s="6">
        <f t="shared" si="0"/>
        <v>1.2919896640826873</v>
      </c>
      <c r="D147" s="8">
        <v>1.0900651999982069</v>
      </c>
      <c r="E147" s="6">
        <v>1975</v>
      </c>
      <c r="F147" s="8">
        <f t="shared" si="1"/>
        <v>3.2911392405063293</v>
      </c>
      <c r="G147" s="6">
        <v>0.89920820001862012</v>
      </c>
      <c r="H147" s="16">
        <v>1910</v>
      </c>
      <c r="I147" s="17">
        <v>0</v>
      </c>
      <c r="J147" s="16">
        <v>3.83</v>
      </c>
      <c r="K147" s="13"/>
    </row>
    <row r="148" spans="1:11" ht="15.75" customHeight="1" x14ac:dyDescent="0.25">
      <c r="A148" s="1" t="s">
        <v>166</v>
      </c>
      <c r="B148" s="8">
        <v>1672</v>
      </c>
      <c r="C148" s="6">
        <f t="shared" si="0"/>
        <v>11.842105263157894</v>
      </c>
      <c r="D148" s="8">
        <v>1.2692854000051741</v>
      </c>
      <c r="E148" s="6">
        <v>1571</v>
      </c>
      <c r="F148" s="8">
        <f t="shared" si="1"/>
        <v>6.1744112030553788</v>
      </c>
      <c r="G148" s="6">
        <v>1.161247099982575</v>
      </c>
      <c r="H148" s="16">
        <v>1474</v>
      </c>
      <c r="I148" s="17">
        <v>0</v>
      </c>
      <c r="J148" s="16">
        <v>4.95</v>
      </c>
      <c r="K148" s="13"/>
    </row>
    <row r="149" spans="1:11" ht="15.75" customHeight="1" x14ac:dyDescent="0.25">
      <c r="A149" s="1" t="s">
        <v>167</v>
      </c>
      <c r="B149" s="8">
        <v>1702</v>
      </c>
      <c r="C149" s="6">
        <f t="shared" si="0"/>
        <v>9.4594594594594597</v>
      </c>
      <c r="D149" s="8">
        <v>1.2336840000061779</v>
      </c>
      <c r="E149" s="6">
        <v>1637</v>
      </c>
      <c r="F149" s="8">
        <f t="shared" si="1"/>
        <v>5.8643860720830787</v>
      </c>
      <c r="G149" s="6">
        <v>1.149278400000185</v>
      </c>
      <c r="H149" s="16">
        <v>1541</v>
      </c>
      <c r="I149" s="17">
        <v>0</v>
      </c>
      <c r="J149" s="16">
        <v>5.28</v>
      </c>
      <c r="K149" s="13"/>
    </row>
    <row r="150" spans="1:11" ht="15.75" customHeight="1" x14ac:dyDescent="0.25">
      <c r="A150" s="22" t="s">
        <v>168</v>
      </c>
      <c r="B150" s="14">
        <v>1598</v>
      </c>
      <c r="C150" s="14">
        <f t="shared" si="0"/>
        <v>5.5068836045056324</v>
      </c>
      <c r="D150" s="14">
        <v>1.082490800006781</v>
      </c>
      <c r="E150" s="23">
        <v>1592</v>
      </c>
      <c r="F150" s="14">
        <f t="shared" si="1"/>
        <v>5.1507537688442211</v>
      </c>
      <c r="G150" s="15">
        <v>1.0550074999919159</v>
      </c>
      <c r="H150" s="24">
        <v>1510</v>
      </c>
      <c r="I150" s="25">
        <v>0</v>
      </c>
      <c r="J150" s="24">
        <v>5.66</v>
      </c>
      <c r="K150" s="26"/>
    </row>
    <row r="151" spans="1:11" ht="15.75" customHeight="1" x14ac:dyDescent="0.25"/>
    <row r="152" spans="1:11" ht="15.75" customHeight="1" x14ac:dyDescent="0.25"/>
    <row r="153" spans="1:11" ht="15.75" customHeight="1" x14ac:dyDescent="0.25"/>
    <row r="154" spans="1:11" ht="15.75" customHeight="1" x14ac:dyDescent="0.25"/>
    <row r="155" spans="1:11" ht="15.75" customHeight="1" x14ac:dyDescent="0.25"/>
    <row r="156" spans="1:11" ht="15.75" customHeight="1" x14ac:dyDescent="0.25"/>
    <row r="157" spans="1:11" ht="15.75" customHeight="1" x14ac:dyDescent="0.25"/>
    <row r="158" spans="1:11" ht="15.75" customHeight="1" x14ac:dyDescent="0.25"/>
    <row r="159" spans="1:11" ht="15.75" customHeight="1" x14ac:dyDescent="0.25"/>
    <row r="160" spans="1:11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150" xr:uid="{00000000-0009-0000-0000-000000000000}"/>
  <mergeCells count="3">
    <mergeCell ref="B1:D1"/>
    <mergeCell ref="E1:G1"/>
    <mergeCell ref="H1:K1"/>
  </mergeCells>
  <conditionalFormatting sqref="C3:C150">
    <cfRule type="expression" dxfId="1" priority="1">
      <formula>C3=MIN($C3,$F3)</formula>
    </cfRule>
  </conditionalFormatting>
  <conditionalFormatting sqref="F3:F150">
    <cfRule type="expression" dxfId="0" priority="2">
      <formula>F3=MIN($C3,$F3)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6:J1000"/>
  <sheetViews>
    <sheetView tabSelected="1" workbookViewId="0">
      <selection activeCell="I18" sqref="I18"/>
    </sheetView>
  </sheetViews>
  <sheetFormatPr defaultColWidth="14.42578125" defaultRowHeight="15" customHeight="1" x14ac:dyDescent="0.25"/>
  <cols>
    <col min="1" max="5" width="8.7109375" customWidth="1"/>
    <col min="6" max="6" width="7.140625" customWidth="1"/>
    <col min="7" max="7" width="11.7109375" customWidth="1"/>
    <col min="8" max="8" width="13.5703125" customWidth="1"/>
    <col min="9" max="9" width="40" customWidth="1"/>
    <col min="10" max="10" width="31.42578125" customWidth="1"/>
    <col min="11" max="26" width="8.7109375" customWidth="1"/>
  </cols>
  <sheetData>
    <row r="6" spans="8:10" x14ac:dyDescent="0.25">
      <c r="H6" s="27"/>
      <c r="I6" s="34" t="s">
        <v>169</v>
      </c>
      <c r="J6" s="28"/>
    </row>
    <row r="7" spans="8:10" x14ac:dyDescent="0.25">
      <c r="H7" s="35" t="s">
        <v>170</v>
      </c>
      <c r="I7" s="2" t="s">
        <v>3</v>
      </c>
      <c r="J7" s="3" t="s">
        <v>2</v>
      </c>
    </row>
    <row r="8" spans="8:10" x14ac:dyDescent="0.25">
      <c r="H8" s="11" t="s">
        <v>6</v>
      </c>
      <c r="I8" s="5">
        <f>AVERAGE(Resultados_ILS!C3:C34)</f>
        <v>6.092651115804423</v>
      </c>
      <c r="J8" s="7">
        <f>AVERAGE(Resultados_ILS!F3:F34)</f>
        <v>6.783737785409155</v>
      </c>
    </row>
    <row r="9" spans="8:10" x14ac:dyDescent="0.25">
      <c r="H9" s="13" t="s">
        <v>14</v>
      </c>
      <c r="I9" s="8">
        <f>AVERAGE(Resultados_ILS!C35:C46)</f>
        <v>8.9753901908068006</v>
      </c>
      <c r="J9" s="7">
        <f>AVERAGE(Resultados_ILS!F35:F46)</f>
        <v>6.6942414853592913</v>
      </c>
    </row>
    <row r="10" spans="8:10" x14ac:dyDescent="0.25">
      <c r="H10" s="13" t="s">
        <v>15</v>
      </c>
      <c r="I10" s="8">
        <f>AVERAGE(Resultados_ILS!C47:C58)</f>
        <v>8.2059556872445434</v>
      </c>
      <c r="J10" s="7">
        <f>AVERAGE(Resultados_ILS!F47:F58)</f>
        <v>5.8409138357114436</v>
      </c>
    </row>
    <row r="11" spans="8:10" x14ac:dyDescent="0.25">
      <c r="H11" s="13" t="s">
        <v>17</v>
      </c>
      <c r="I11" s="8">
        <f>AVERAGE(Resultados_ILS!C59:C70)</f>
        <v>8.0403368239009794</v>
      </c>
      <c r="J11" s="7">
        <f>AVERAGE(Resultados_ILS!F59:F70)</f>
        <v>6.0179517432354297</v>
      </c>
    </row>
    <row r="12" spans="8:10" x14ac:dyDescent="0.25">
      <c r="H12" s="13" t="s">
        <v>18</v>
      </c>
      <c r="I12" s="8">
        <f>AVERAGE(Resultados_ILS!C71:C82)</f>
        <v>8.3557238989672857</v>
      </c>
      <c r="J12" s="7">
        <f>AVERAGE(Resultados_ILS!F71:F82)</f>
        <v>4.8020404757061739</v>
      </c>
    </row>
    <row r="13" spans="8:10" x14ac:dyDescent="0.25">
      <c r="H13" s="13" t="s">
        <v>20</v>
      </c>
      <c r="I13" s="8">
        <f>AVERAGE(Resultados_ILS!C83:C94)</f>
        <v>9.5033117067043396</v>
      </c>
      <c r="J13" s="7">
        <f>AVERAGE(Resultados_ILS!F83:F94)</f>
        <v>4.4216715030036804</v>
      </c>
    </row>
    <row r="14" spans="8:10" x14ac:dyDescent="0.25">
      <c r="H14" s="13" t="s">
        <v>22</v>
      </c>
      <c r="I14" s="8">
        <f>AVERAGE(Resultados_ILS!C95:C106)</f>
        <v>9.5357009499637915</v>
      </c>
      <c r="J14" s="7">
        <f>AVERAGE(Resultados_ILS!F95:F106)</f>
        <v>6.8969315060189302</v>
      </c>
    </row>
    <row r="15" spans="8:10" x14ac:dyDescent="0.25">
      <c r="H15" s="13" t="s">
        <v>24</v>
      </c>
      <c r="I15" s="8">
        <f>AVERAGE(Resultados_ILS!C107:C118)</f>
        <v>7.2206561057463077</v>
      </c>
      <c r="J15" s="7">
        <f>AVERAGE(Resultados_ILS!F107:F118)</f>
        <v>5.7605501187688803</v>
      </c>
    </row>
    <row r="16" spans="8:10" x14ac:dyDescent="0.25">
      <c r="H16" s="26" t="s">
        <v>26</v>
      </c>
      <c r="I16" s="14">
        <f>AVERAGE(Resultados_ILS!C119:C150)</f>
        <v>5.0932494417865133</v>
      </c>
      <c r="J16" s="15">
        <f>AVERAGE(Resultados_ILS!F119:F150)</f>
        <v>5.0078786347603321</v>
      </c>
    </row>
    <row r="21" spans="8:8" ht="15.75" customHeight="1" x14ac:dyDescent="0.25"/>
    <row r="22" spans="8:8" ht="15.75" customHeight="1" x14ac:dyDescent="0.25"/>
    <row r="23" spans="8:8" ht="15.75" customHeight="1" x14ac:dyDescent="0.25"/>
    <row r="24" spans="8:8" ht="15.75" customHeight="1" x14ac:dyDescent="0.25"/>
    <row r="25" spans="8:8" ht="15.75" customHeight="1" x14ac:dyDescent="0.25"/>
    <row r="26" spans="8:8" ht="15.75" customHeight="1" x14ac:dyDescent="0.25"/>
    <row r="27" spans="8:8" ht="15.75" customHeight="1" x14ac:dyDescent="0.25">
      <c r="H27" s="1"/>
    </row>
    <row r="28" spans="8:8" ht="15.75" customHeight="1" x14ac:dyDescent="0.25">
      <c r="H28" s="1"/>
    </row>
    <row r="29" spans="8:8" ht="15.75" customHeight="1" x14ac:dyDescent="0.25">
      <c r="H29" s="1"/>
    </row>
    <row r="30" spans="8:8" ht="15.75" customHeight="1" x14ac:dyDescent="0.25">
      <c r="H30" s="1"/>
    </row>
    <row r="31" spans="8:8" ht="15.75" customHeight="1" x14ac:dyDescent="0.25">
      <c r="H31" s="1"/>
    </row>
    <row r="32" spans="8:8" ht="15.75" customHeight="1" x14ac:dyDescent="0.25">
      <c r="H32" s="1"/>
    </row>
    <row r="33" spans="8:8" ht="15.75" customHeight="1" x14ac:dyDescent="0.25">
      <c r="H33" s="1"/>
    </row>
    <row r="34" spans="8:8" ht="15.75" customHeight="1" x14ac:dyDescent="0.25">
      <c r="H34" s="1"/>
    </row>
    <row r="35" spans="8:8" ht="15.75" customHeight="1" x14ac:dyDescent="0.25">
      <c r="H35" s="1"/>
    </row>
    <row r="36" spans="8:8" ht="15.75" customHeight="1" x14ac:dyDescent="0.25">
      <c r="H36" s="1"/>
    </row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:J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Resultados_ILS</vt:lpstr>
      <vt:lpstr>Média das dif 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Gonçalves Assumpção</cp:lastModifiedBy>
  <dcterms:created xsi:type="dcterms:W3CDTF">2026-08-14T00:35:48Z</dcterms:created>
  <dcterms:modified xsi:type="dcterms:W3CDTF">2026-09-03T17:35:03Z</dcterms:modified>
</cp:coreProperties>
</file>