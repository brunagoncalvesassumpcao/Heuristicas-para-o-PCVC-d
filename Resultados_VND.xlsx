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eurísticas para o PCVC-d\"/>
    </mc:Choice>
  </mc:AlternateContent>
  <xr:revisionPtr revIDLastSave="0" documentId="13_ncr:1_{B21ADD20-00AD-4755-B386-F42F7C1F19C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ltados_VND" sheetId="1" r:id="rId1"/>
    <sheet name="Média das dif VND" sheetId="2" r:id="rId2"/>
  </sheets>
  <definedNames>
    <definedName name="_xlnm._FilterDatabase" localSheetId="0" hidden="1">Resultados_VND!$A$1:$A$150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J15" i="2"/>
  <c r="J14" i="2"/>
  <c r="J13" i="2"/>
  <c r="J12" i="2"/>
  <c r="J11" i="2"/>
  <c r="J10" i="2"/>
  <c r="J9" i="2"/>
  <c r="J8" i="2"/>
  <c r="I16" i="2"/>
  <c r="I15" i="2"/>
  <c r="I14" i="2"/>
  <c r="I13" i="2"/>
  <c r="I12" i="2"/>
  <c r="I11" i="2"/>
  <c r="I10" i="2"/>
  <c r="I9" i="2"/>
  <c r="I8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3" i="1"/>
</calcChain>
</file>

<file path=xl/sharedStrings.xml><?xml version="1.0" encoding="utf-8"?>
<sst xmlns="http://schemas.openxmlformats.org/spreadsheetml/2006/main" count="175" uniqueCount="172">
  <si>
    <t>Instance</t>
  </si>
  <si>
    <t>Solution</t>
  </si>
  <si>
    <t>Time</t>
  </si>
  <si>
    <t>berlin52-C-1-0-a</t>
  </si>
  <si>
    <t>berlin52-C-3-0-a</t>
  </si>
  <si>
    <t>berlin52-C-3-0-b</t>
  </si>
  <si>
    <t>berlin52-C-3-0-c</t>
  </si>
  <si>
    <t>berlin52-C-3-1-a</t>
  </si>
  <si>
    <t>berlin52-C-3-1-b</t>
  </si>
  <si>
    <t>berlin52-C-3-1-c</t>
  </si>
  <si>
    <t>berlin52-C-5-0-a</t>
  </si>
  <si>
    <t>berlin52-C-5-0-b</t>
  </si>
  <si>
    <t>berlin52-C-5-0-c</t>
  </si>
  <si>
    <t>berlin52-C-5-1-a</t>
  </si>
  <si>
    <t>berlin52-C-5-1-b</t>
  </si>
  <si>
    <t>berlin52-C-5-1-c</t>
  </si>
  <si>
    <t>berlin52-C-5-3-a</t>
  </si>
  <si>
    <t>berlin52-C-5-3-b</t>
  </si>
  <si>
    <t>berlin52-C-5-3-c</t>
  </si>
  <si>
    <t>berlin52-R-1-0-a</t>
  </si>
  <si>
    <t>berlin52-R-3-0-a</t>
  </si>
  <si>
    <t>berlin52-R-3-0-b</t>
  </si>
  <si>
    <t>berlin52-R-3-0-c</t>
  </si>
  <si>
    <t>berlin52-R-3-1-a</t>
  </si>
  <si>
    <t>berlin52-R-3-1-b</t>
  </si>
  <si>
    <t>berlin52-R-3-1-c</t>
  </si>
  <si>
    <t>berlin52-R-5-0-a</t>
  </si>
  <si>
    <t>berlin52-R-5-0-b</t>
  </si>
  <si>
    <t>berlin52-R-5-0-c</t>
  </si>
  <si>
    <t>berlin52-R-5-1-a</t>
  </si>
  <si>
    <t>berlin52-R-5-1-b</t>
  </si>
  <si>
    <t>berlin52-R-5-1-c</t>
  </si>
  <si>
    <t>berlin52-R-5-3-a</t>
  </si>
  <si>
    <t>berlin52-R-5-3-b</t>
  </si>
  <si>
    <t>berlin52-R-5-3-c</t>
  </si>
  <si>
    <t>kroA100-C-1-0-a</t>
  </si>
  <si>
    <t>kroA100-C-3-0-a</t>
  </si>
  <si>
    <t>kroA100-C-3-1-a</t>
  </si>
  <si>
    <t>kroA100-C-5-0-a</t>
  </si>
  <si>
    <t>kroA100-C-5-1-a</t>
  </si>
  <si>
    <t>kroA100-C-5-3-a</t>
  </si>
  <si>
    <t>kroA100-R-1-0-a</t>
  </si>
  <si>
    <t>kroA100-R-3-0-a</t>
  </si>
  <si>
    <t>kroA100-R-3-1-a</t>
  </si>
  <si>
    <t>kroA100-R-5-0-a</t>
  </si>
  <si>
    <t>kroA100-R-5-1-a</t>
  </si>
  <si>
    <t>kroA100-R-5-3-a</t>
  </si>
  <si>
    <t>kroA200-C-1-0-a</t>
  </si>
  <si>
    <t>kroA200-C-3-0-a</t>
  </si>
  <si>
    <t>kroA200-C-3-1-a</t>
  </si>
  <si>
    <t>kroA200-C-5-0-a</t>
  </si>
  <si>
    <t>kroA200-C-5-1-a</t>
  </si>
  <si>
    <t>kroA200-C-5-3-a</t>
  </si>
  <si>
    <t>kroA200-R-1-0-a</t>
  </si>
  <si>
    <t>kroA200-R-3-0-a</t>
  </si>
  <si>
    <t>kroA200-R-3-1-a</t>
  </si>
  <si>
    <t>kroA200-R-5-0-a</t>
  </si>
  <si>
    <t>kroA200-R-5-1-a</t>
  </si>
  <si>
    <t>kroA200-R-5-3-a</t>
  </si>
  <si>
    <t>kroB100-C-1-0-a</t>
  </si>
  <si>
    <t>kroB100-C-3-0-a</t>
  </si>
  <si>
    <t>kroB100-C-3-1-a</t>
  </si>
  <si>
    <t>kroB100-C-5-0-a</t>
  </si>
  <si>
    <t>kroB100-C-5-1-a</t>
  </si>
  <si>
    <t>kroB100-C-5-3-a</t>
  </si>
  <si>
    <t>kroB100-R-1-0-a</t>
  </si>
  <si>
    <t>kroB100-R-3-0-a</t>
  </si>
  <si>
    <t>kroB100-R-3-1-a</t>
  </si>
  <si>
    <t>kroB100-R-5-0-a</t>
  </si>
  <si>
    <t>kroB100-R-5-1-a</t>
  </si>
  <si>
    <t>kroB100-R-5-3-a</t>
  </si>
  <si>
    <t>kroB200-C-1-0-a</t>
  </si>
  <si>
    <t>kroB200-C-3-0-a</t>
  </si>
  <si>
    <t>kroB200-C-3-1-a</t>
  </si>
  <si>
    <t>kroB200-C-5-0-a</t>
  </si>
  <si>
    <t>kroB200-C-5-1-a</t>
  </si>
  <si>
    <t>kroB200-C-5-3-a</t>
  </si>
  <si>
    <t>kroB200-R-1-0-a</t>
  </si>
  <si>
    <t>kroB200-R-3-0-a</t>
  </si>
  <si>
    <t>kroB200-R-3-1-a</t>
  </si>
  <si>
    <t>kroB200-R-5-0-a</t>
  </si>
  <si>
    <t>kroB200-R-5-1-a</t>
  </si>
  <si>
    <t>kroB200-R-5-3-a</t>
  </si>
  <si>
    <t>kroC100-C-1-0-a</t>
  </si>
  <si>
    <t>kroC100-C-3-0-a</t>
  </si>
  <si>
    <t>kroC100-C-3-1-a</t>
  </si>
  <si>
    <t>kroC100-C-5-0-a</t>
  </si>
  <si>
    <t>kroC100-C-5-1-a</t>
  </si>
  <si>
    <t>kroC100-C-5-3-a</t>
  </si>
  <si>
    <t>kroC100-R-1-0-a</t>
  </si>
  <si>
    <t>kroC100-R-3-0-a</t>
  </si>
  <si>
    <t>kroC100-R-3-1-a</t>
  </si>
  <si>
    <t>kroC100-R-5-0-a</t>
  </si>
  <si>
    <t>kroC100-R-5-1-a</t>
  </si>
  <si>
    <t>kroC100-R-5-3-a</t>
  </si>
  <si>
    <t>kroD100-C-1-0-a</t>
  </si>
  <si>
    <t>kroD100-C-3-0-a</t>
  </si>
  <si>
    <t>kroD100-C-3-1-a</t>
  </si>
  <si>
    <t>kroD100-C-5-0-a</t>
  </si>
  <si>
    <t>kroD100-C-5-1-a</t>
  </si>
  <si>
    <t>kroD100-C-5-3-a</t>
  </si>
  <si>
    <t>kroD100-R-1-0-a</t>
  </si>
  <si>
    <t>kroD100-R-3-0-a</t>
  </si>
  <si>
    <t>kroD100-R-3-1-a</t>
  </si>
  <si>
    <t>kroD100-R-5-0-a</t>
  </si>
  <si>
    <t>kroD100-R-5-1-a</t>
  </si>
  <si>
    <t>kroD100-R-5-3-a</t>
  </si>
  <si>
    <t>kroE100-C-1-0-a</t>
  </si>
  <si>
    <t>kroE100-C-3-0-a</t>
  </si>
  <si>
    <t>kroE100-C-3-1-a</t>
  </si>
  <si>
    <t>kroE100-C-5-0-a</t>
  </si>
  <si>
    <t>kroE100-C-5-1-a</t>
  </si>
  <si>
    <t>kroE100-C-5-3-a</t>
  </si>
  <si>
    <t>kroE100-R-1-0-a</t>
  </si>
  <si>
    <t>kroE100-R-3-0-a</t>
  </si>
  <si>
    <t>kroE100-R-3-1-a</t>
  </si>
  <si>
    <t>kroE100-R-5-0-a</t>
  </si>
  <si>
    <t>kroE100-R-5-1-a</t>
  </si>
  <si>
    <t>kroE100-R-5-3-a</t>
  </si>
  <si>
    <t>swiss42-C-1-0-a</t>
  </si>
  <si>
    <t>swiss42-C-3-0-a</t>
  </si>
  <si>
    <t>swiss42-C-3-0-b</t>
  </si>
  <si>
    <t>swiss42-C-3-0-c</t>
  </si>
  <si>
    <t>swiss42-C-3-1-a</t>
  </si>
  <si>
    <t>swiss42-C-3-1-b</t>
  </si>
  <si>
    <t>swiss42-C-3-1-c</t>
  </si>
  <si>
    <t>swiss42-C-5-0-a</t>
  </si>
  <si>
    <t>swiss42-C-5-0-b</t>
  </si>
  <si>
    <t>swiss42-C-5-0-c</t>
  </si>
  <si>
    <t>swiss42-C-5-1-a</t>
  </si>
  <si>
    <t>swiss42-C-5-1-b</t>
  </si>
  <si>
    <t>swiss42-C-5-1-c</t>
  </si>
  <si>
    <t>swiss42-C-5-3-a</t>
  </si>
  <si>
    <t>swiss42-C-5-3-b</t>
  </si>
  <si>
    <t>swiss42-C-5-3-c</t>
  </si>
  <si>
    <t>swiss42-R-1-0-a</t>
  </si>
  <si>
    <t>swiss42-R-3-0-a</t>
  </si>
  <si>
    <t>swiss42-R-3-0-b</t>
  </si>
  <si>
    <t>swiss42-R-3-0-c</t>
  </si>
  <si>
    <t>swiss42-R-3-1-a</t>
  </si>
  <si>
    <t>swiss42-R-3-1-b</t>
  </si>
  <si>
    <t>swiss42-R-3-1-c</t>
  </si>
  <si>
    <t>swiss42-R-5-0-a</t>
  </si>
  <si>
    <t>swiss42-R-5-0-b</t>
  </si>
  <si>
    <t>swiss42-R-5-0-c</t>
  </si>
  <si>
    <t>swiss42-R-5-1-a</t>
  </si>
  <si>
    <t>swiss42-R-5-1-b</t>
  </si>
  <si>
    <t>swiss42-R-5-1-c</t>
  </si>
  <si>
    <t>swiss42-R-5-3-a</t>
  </si>
  <si>
    <t>swiss42-R-5-3-b</t>
  </si>
  <si>
    <t>swiss42-R-5-3-c</t>
  </si>
  <si>
    <t>Dif(%)</t>
  </si>
  <si>
    <t>Vizinho mais próximo d-relaxado VND</t>
  </si>
  <si>
    <t>Inserção d-relaxada VND</t>
  </si>
  <si>
    <t>GILS-RVND</t>
  </si>
  <si>
    <t>Best</t>
  </si>
  <si>
    <t>Gapav</t>
  </si>
  <si>
    <t>Timeav</t>
  </si>
  <si>
    <t>Solav</t>
  </si>
  <si>
    <t>Instâncias</t>
  </si>
  <si>
    <t>berlin52</t>
  </si>
  <si>
    <t>kroA100</t>
  </si>
  <si>
    <t>kroA200</t>
  </si>
  <si>
    <t>kroB100</t>
  </si>
  <si>
    <t>kroB200</t>
  </si>
  <si>
    <t>kroC100</t>
  </si>
  <si>
    <t>kroD100</t>
  </si>
  <si>
    <t>kroE100</t>
  </si>
  <si>
    <t>swiss42</t>
  </si>
  <si>
    <t>Vizinho mais próximo d-relaxado com VND</t>
  </si>
  <si>
    <t>Inserção d-relaxada com VND</t>
  </si>
  <si>
    <r>
      <t xml:space="preserve">Média das </t>
    </r>
    <r>
      <rPr>
        <i/>
        <sz val="11"/>
        <color theme="1"/>
        <rFont val="Calibri"/>
        <family val="2"/>
        <scheme val="minor"/>
      </rPr>
      <t>Dif</t>
    </r>
    <r>
      <rPr>
        <sz val="11"/>
        <color theme="1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</si>
</sst>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3" xfId="0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4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4" fontId="0" fillId="0" borderId="4" xfId="0" applyNumberFormat="1" applyBorder="1"/>
    <xf numFmtId="4" fontId="0" fillId="0" borderId="5" xfId="0" applyNumberFormat="1" applyBorder="1"/>
    <xf numFmtId="2" fontId="0" fillId="0" borderId="4" xfId="0" applyNumberFormat="1" applyBorder="1"/>
    <xf numFmtId="2" fontId="0" fillId="0" borderId="5" xfId="0" applyNumberFormat="1" applyBorder="1"/>
    <xf numFmtId="4" fontId="0" fillId="0" borderId="6" xfId="0" applyNumberFormat="1" applyBorder="1"/>
    <xf numFmtId="2" fontId="0" fillId="0" borderId="2" xfId="0" applyNumberFormat="1" applyBorder="1"/>
    <xf numFmtId="2" fontId="0" fillId="0" borderId="6" xfId="0" applyNumberFormat="1" applyBorder="1"/>
    <xf numFmtId="4" fontId="0" fillId="0" borderId="2" xfId="0" applyNumberFormat="1" applyBorder="1"/>
    <xf numFmtId="4" fontId="0" fillId="0" borderId="2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2" fontId="0" fillId="0" borderId="11" xfId="0" applyNumberFormat="1" applyBorder="1"/>
    <xf numFmtId="0" fontId="0" fillId="0" borderId="1" xfId="0" applyBorder="1"/>
    <xf numFmtId="2" fontId="0" fillId="0" borderId="7" xfId="0" applyNumberFormat="1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"/>
  <sheetViews>
    <sheetView topLeftCell="A133" workbookViewId="0">
      <selection activeCell="N143" sqref="N143"/>
    </sheetView>
  </sheetViews>
  <sheetFormatPr defaultRowHeight="15" x14ac:dyDescent="0.25"/>
  <cols>
    <col min="1" max="1" width="17.42578125" customWidth="1"/>
    <col min="2" max="2" width="18.7109375" customWidth="1"/>
    <col min="3" max="3" width="20.5703125" customWidth="1"/>
    <col min="4" max="4" width="16.7109375" customWidth="1"/>
    <col min="5" max="5" width="19.140625" customWidth="1"/>
    <col min="6" max="6" width="19.5703125" customWidth="1"/>
    <col min="7" max="7" width="14.5703125" customWidth="1"/>
    <col min="8" max="8" width="13.85546875" customWidth="1"/>
    <col min="9" max="9" width="12.85546875" customWidth="1"/>
    <col min="10" max="10" width="12.42578125" customWidth="1"/>
    <col min="11" max="11" width="11.42578125" customWidth="1"/>
    <col min="14" max="14" width="16.140625" customWidth="1"/>
  </cols>
  <sheetData>
    <row r="1" spans="1:18" x14ac:dyDescent="0.25">
      <c r="B1" s="37" t="s">
        <v>152</v>
      </c>
      <c r="C1" s="38"/>
      <c r="D1" s="39"/>
      <c r="E1" s="37" t="s">
        <v>153</v>
      </c>
      <c r="F1" s="38"/>
      <c r="G1" s="39"/>
      <c r="H1" s="37" t="s">
        <v>154</v>
      </c>
      <c r="I1" s="38"/>
      <c r="J1" s="38"/>
      <c r="K1" s="39"/>
      <c r="O1" s="40"/>
      <c r="P1" s="40"/>
      <c r="Q1" s="40"/>
      <c r="R1" s="40"/>
    </row>
    <row r="2" spans="1:18" x14ac:dyDescent="0.25">
      <c r="A2" s="3" t="s">
        <v>0</v>
      </c>
      <c r="B2" s="3" t="s">
        <v>1</v>
      </c>
      <c r="C2" s="3" t="s">
        <v>151</v>
      </c>
      <c r="D2" s="3" t="s">
        <v>2</v>
      </c>
      <c r="E2" s="3" t="s">
        <v>1</v>
      </c>
      <c r="F2" s="3" t="s">
        <v>151</v>
      </c>
      <c r="G2" s="3" t="s">
        <v>2</v>
      </c>
      <c r="H2" s="3" t="s">
        <v>155</v>
      </c>
      <c r="I2" s="3" t="s">
        <v>156</v>
      </c>
      <c r="J2" s="3" t="s">
        <v>157</v>
      </c>
      <c r="K2" s="3" t="s">
        <v>158</v>
      </c>
      <c r="O2" s="13"/>
      <c r="P2" s="13"/>
      <c r="Q2" s="13"/>
      <c r="R2" s="13"/>
    </row>
    <row r="3" spans="1:18" x14ac:dyDescent="0.25">
      <c r="A3" t="s">
        <v>3</v>
      </c>
      <c r="B3" s="17">
        <v>8321</v>
      </c>
      <c r="C3" s="2">
        <f>((B3 -H3)/B3 * 100)</f>
        <v>9.3618555462083872</v>
      </c>
      <c r="D3" s="19">
        <v>0.6531853000051342</v>
      </c>
      <c r="E3" s="1">
        <v>7862</v>
      </c>
      <c r="F3" s="19">
        <f>((E3 -H3)/ E3 * 100)</f>
        <v>4.0702111422030018</v>
      </c>
      <c r="G3" s="2">
        <v>1.0455631000077119</v>
      </c>
      <c r="H3" s="4">
        <v>7542</v>
      </c>
      <c r="I3" s="12">
        <v>0</v>
      </c>
      <c r="J3" s="4">
        <v>7.86</v>
      </c>
      <c r="K3" s="26"/>
      <c r="O3" s="12"/>
      <c r="P3" s="12"/>
      <c r="Q3" s="12"/>
    </row>
    <row r="4" spans="1:18" x14ac:dyDescent="0.25">
      <c r="A4" t="s">
        <v>4</v>
      </c>
      <c r="B4" s="18">
        <v>8442</v>
      </c>
      <c r="C4" s="2">
        <f t="shared" ref="C4:C67" si="0">((B4 -H4)/B4 * 100)</f>
        <v>3.5299692016109927</v>
      </c>
      <c r="D4" s="20">
        <v>0.35124819999327878</v>
      </c>
      <c r="E4" s="1">
        <v>8287</v>
      </c>
      <c r="F4" s="20">
        <f t="shared" ref="F4:F67" si="1">((E4 -H4)/ E4 * 100)</f>
        <v>1.7255943043320863</v>
      </c>
      <c r="G4" s="2">
        <v>0.34782730000733858</v>
      </c>
      <c r="H4" s="5">
        <v>8144</v>
      </c>
      <c r="I4" s="12">
        <v>0</v>
      </c>
      <c r="J4" s="5">
        <v>7.59</v>
      </c>
      <c r="K4" s="27"/>
      <c r="O4" s="12"/>
      <c r="P4" s="12"/>
      <c r="Q4" s="12"/>
    </row>
    <row r="5" spans="1:18" x14ac:dyDescent="0.25">
      <c r="A5" t="s">
        <v>5</v>
      </c>
      <c r="B5" s="18">
        <v>8038</v>
      </c>
      <c r="C5" s="2">
        <f t="shared" si="0"/>
        <v>0.27369992535456578</v>
      </c>
      <c r="D5" s="20">
        <v>0.28971450000244658</v>
      </c>
      <c r="E5" s="1">
        <v>8559</v>
      </c>
      <c r="F5" s="20">
        <f t="shared" si="1"/>
        <v>6.3441990886785842</v>
      </c>
      <c r="G5" s="2">
        <v>0.25156170000263961</v>
      </c>
      <c r="H5" s="5">
        <v>8016</v>
      </c>
      <c r="I5" s="12">
        <v>0</v>
      </c>
      <c r="J5" s="5">
        <v>5.96</v>
      </c>
      <c r="K5" s="27"/>
      <c r="O5" s="12"/>
      <c r="P5" s="12"/>
      <c r="Q5" s="12"/>
    </row>
    <row r="6" spans="1:18" x14ac:dyDescent="0.25">
      <c r="A6" t="s">
        <v>6</v>
      </c>
      <c r="B6" s="18">
        <v>10211</v>
      </c>
      <c r="C6" s="2">
        <f t="shared" si="0"/>
        <v>11.027323474684165</v>
      </c>
      <c r="D6" s="20">
        <v>0.53896059999533463</v>
      </c>
      <c r="E6" s="1">
        <v>9669</v>
      </c>
      <c r="F6" s="20">
        <f t="shared" si="1"/>
        <v>6.0399213982831732</v>
      </c>
      <c r="G6" s="2">
        <v>0.7841647000022931</v>
      </c>
      <c r="H6" s="5">
        <v>9085</v>
      </c>
      <c r="I6" s="12">
        <v>7.0000000000000007E-2</v>
      </c>
      <c r="J6" s="5">
        <v>6.77</v>
      </c>
      <c r="K6" s="27"/>
      <c r="O6" s="12"/>
      <c r="P6" s="12"/>
      <c r="Q6" s="12"/>
    </row>
    <row r="7" spans="1:18" x14ac:dyDescent="0.25">
      <c r="A7" t="s">
        <v>7</v>
      </c>
      <c r="B7" s="18">
        <v>8702</v>
      </c>
      <c r="C7" s="2">
        <f t="shared" si="0"/>
        <v>8.6187083429096756</v>
      </c>
      <c r="D7" s="20">
        <v>1.1729763000039379</v>
      </c>
      <c r="E7" s="1">
        <v>8287</v>
      </c>
      <c r="F7" s="20">
        <f t="shared" si="1"/>
        <v>4.0424761674912508</v>
      </c>
      <c r="G7" s="2">
        <v>0.40948810000554658</v>
      </c>
      <c r="H7" s="5">
        <v>7952</v>
      </c>
      <c r="I7" s="12">
        <v>0</v>
      </c>
      <c r="J7" s="5">
        <v>8.61</v>
      </c>
      <c r="K7" s="27"/>
      <c r="O7" s="12"/>
      <c r="P7" s="12"/>
      <c r="Q7" s="12"/>
    </row>
    <row r="8" spans="1:18" x14ac:dyDescent="0.25">
      <c r="A8" t="s">
        <v>8</v>
      </c>
      <c r="B8" s="18">
        <v>9368</v>
      </c>
      <c r="C8" s="2">
        <f t="shared" si="0"/>
        <v>18.915456874466269</v>
      </c>
      <c r="D8" s="20">
        <v>0.46387460001278669</v>
      </c>
      <c r="E8" s="1">
        <v>7862</v>
      </c>
      <c r="F8" s="20">
        <f t="shared" si="1"/>
        <v>3.3833630119562454</v>
      </c>
      <c r="G8" s="2">
        <v>0.84324939998623449</v>
      </c>
      <c r="H8" s="5">
        <v>7596</v>
      </c>
      <c r="I8" s="12">
        <v>0</v>
      </c>
      <c r="J8" s="5">
        <v>7.24</v>
      </c>
      <c r="K8" s="27"/>
      <c r="O8" s="12"/>
      <c r="P8" s="12"/>
      <c r="Q8" s="12"/>
    </row>
    <row r="9" spans="1:18" x14ac:dyDescent="0.25">
      <c r="A9" t="s">
        <v>9</v>
      </c>
      <c r="B9" s="18">
        <v>8550</v>
      </c>
      <c r="C9" s="2">
        <f t="shared" si="0"/>
        <v>6.6198830409356733</v>
      </c>
      <c r="D9" s="20">
        <v>0.64816830000199843</v>
      </c>
      <c r="E9" s="1">
        <v>8310</v>
      </c>
      <c r="F9" s="20">
        <f t="shared" si="1"/>
        <v>3.9229843561973525</v>
      </c>
      <c r="G9" s="2">
        <v>0.71245940000517294</v>
      </c>
      <c r="H9" s="5">
        <v>7984</v>
      </c>
      <c r="I9" s="12">
        <v>0</v>
      </c>
      <c r="J9" s="5">
        <v>8.1999999999999993</v>
      </c>
      <c r="K9" s="27"/>
      <c r="O9" s="12"/>
      <c r="P9" s="12"/>
      <c r="Q9" s="12"/>
    </row>
    <row r="10" spans="1:18" x14ac:dyDescent="0.25">
      <c r="A10" t="s">
        <v>10</v>
      </c>
      <c r="B10" s="18">
        <v>9704</v>
      </c>
      <c r="C10" s="2">
        <f t="shared" si="0"/>
        <v>2.8235779060181367</v>
      </c>
      <c r="D10" s="20">
        <v>0.32636920000368258</v>
      </c>
      <c r="E10" s="1">
        <v>9934</v>
      </c>
      <c r="F10" s="20">
        <f t="shared" si="1"/>
        <v>5.0734850010066435</v>
      </c>
      <c r="G10" s="2">
        <v>0.28523150000546588</v>
      </c>
      <c r="H10" s="5">
        <v>9430</v>
      </c>
      <c r="I10" s="12">
        <v>0</v>
      </c>
      <c r="J10" s="5">
        <v>5.85</v>
      </c>
      <c r="K10" s="27"/>
      <c r="O10" s="12"/>
      <c r="P10" s="12"/>
      <c r="Q10" s="12"/>
    </row>
    <row r="11" spans="1:18" x14ac:dyDescent="0.25">
      <c r="A11" t="s">
        <v>11</v>
      </c>
      <c r="B11" s="18">
        <v>9206</v>
      </c>
      <c r="C11" s="2">
        <f t="shared" si="0"/>
        <v>5.8331522919834891</v>
      </c>
      <c r="D11" s="20">
        <v>0.96110869999392889</v>
      </c>
      <c r="E11" s="1">
        <v>9060</v>
      </c>
      <c r="F11" s="20">
        <f t="shared" si="1"/>
        <v>4.3156732891832226</v>
      </c>
      <c r="G11" s="2">
        <v>0.18712470000900791</v>
      </c>
      <c r="H11" s="5">
        <v>8669</v>
      </c>
      <c r="I11" s="12">
        <v>0</v>
      </c>
      <c r="J11" s="5">
        <v>5.13</v>
      </c>
      <c r="K11" s="27"/>
      <c r="O11" s="12"/>
      <c r="P11" s="12"/>
      <c r="Q11" s="12"/>
    </row>
    <row r="12" spans="1:18" x14ac:dyDescent="0.25">
      <c r="A12" t="s">
        <v>12</v>
      </c>
      <c r="B12" s="18">
        <v>9949</v>
      </c>
      <c r="C12" s="2">
        <f t="shared" si="0"/>
        <v>2.9952759071263442</v>
      </c>
      <c r="D12" s="20">
        <v>0.32598970000981348</v>
      </c>
      <c r="E12" s="1">
        <v>9764</v>
      </c>
      <c r="F12" s="20">
        <f t="shared" si="1"/>
        <v>1.1573125768127817</v>
      </c>
      <c r="G12" s="2">
        <v>0.32571350000216631</v>
      </c>
      <c r="H12" s="5">
        <v>9651</v>
      </c>
      <c r="I12" s="12">
        <v>0</v>
      </c>
      <c r="J12" s="5">
        <v>5.69</v>
      </c>
      <c r="K12" s="27"/>
      <c r="O12" s="12"/>
      <c r="P12" s="12"/>
      <c r="Q12" s="12"/>
    </row>
    <row r="13" spans="1:18" x14ac:dyDescent="0.25">
      <c r="A13" t="s">
        <v>13</v>
      </c>
      <c r="B13" s="18">
        <v>10106</v>
      </c>
      <c r="C13" s="2">
        <f t="shared" si="0"/>
        <v>12.814169800118741</v>
      </c>
      <c r="D13" s="20">
        <v>0.56386199999542441</v>
      </c>
      <c r="E13" s="1">
        <v>9524</v>
      </c>
      <c r="F13" s="20">
        <f t="shared" si="1"/>
        <v>7.4863502729945397</v>
      </c>
      <c r="G13" s="2">
        <v>0.94659269999829121</v>
      </c>
      <c r="H13" s="5">
        <v>8811</v>
      </c>
      <c r="I13" s="12">
        <v>0.1</v>
      </c>
      <c r="J13" s="5">
        <v>7.15</v>
      </c>
      <c r="K13" s="27"/>
      <c r="O13" s="12"/>
      <c r="P13" s="12"/>
      <c r="Q13" s="12"/>
    </row>
    <row r="14" spans="1:18" x14ac:dyDescent="0.25">
      <c r="A14" t="s">
        <v>14</v>
      </c>
      <c r="B14" s="18">
        <v>8258</v>
      </c>
      <c r="C14" s="2">
        <f t="shared" si="0"/>
        <v>3.7539355776217005</v>
      </c>
      <c r="D14" s="20">
        <v>0.81677659999695607</v>
      </c>
      <c r="E14" s="1">
        <v>8472</v>
      </c>
      <c r="F14" s="20">
        <f t="shared" si="1"/>
        <v>6.1850802644003782</v>
      </c>
      <c r="G14" s="2">
        <v>0.299789900003816</v>
      </c>
      <c r="H14" s="5">
        <v>7948</v>
      </c>
      <c r="I14" s="12">
        <v>0</v>
      </c>
      <c r="J14" s="5">
        <v>6.51</v>
      </c>
      <c r="K14" s="27"/>
      <c r="O14" s="12"/>
      <c r="P14" s="12"/>
      <c r="Q14" s="12"/>
    </row>
    <row r="15" spans="1:18" x14ac:dyDescent="0.25">
      <c r="A15" t="s">
        <v>15</v>
      </c>
      <c r="B15" s="18">
        <v>8809</v>
      </c>
      <c r="C15" s="2">
        <f t="shared" si="0"/>
        <v>3.4056079010103302</v>
      </c>
      <c r="D15" s="20">
        <v>0.53436820000933949</v>
      </c>
      <c r="E15" s="1">
        <v>9585</v>
      </c>
      <c r="F15" s="20">
        <f t="shared" si="1"/>
        <v>11.225873761085028</v>
      </c>
      <c r="G15" s="2">
        <v>0.32594110000354698</v>
      </c>
      <c r="H15" s="5">
        <v>8509</v>
      </c>
      <c r="I15" s="12">
        <v>0</v>
      </c>
      <c r="J15" s="5">
        <v>7.01</v>
      </c>
      <c r="K15" s="27"/>
      <c r="O15" s="12"/>
      <c r="P15" s="12"/>
      <c r="Q15" s="12"/>
    </row>
    <row r="16" spans="1:18" x14ac:dyDescent="0.25">
      <c r="A16" t="s">
        <v>16</v>
      </c>
      <c r="B16" s="18">
        <v>8376</v>
      </c>
      <c r="C16" s="2">
        <f t="shared" si="0"/>
        <v>5.5993314231136582</v>
      </c>
      <c r="D16" s="20">
        <v>0.51408230001106858</v>
      </c>
      <c r="E16" s="1">
        <v>8587</v>
      </c>
      <c r="F16" s="20">
        <f t="shared" si="1"/>
        <v>7.9189472458367298</v>
      </c>
      <c r="G16" s="2">
        <v>1.087856700003613</v>
      </c>
      <c r="H16" s="5">
        <v>7907</v>
      </c>
      <c r="I16" s="12">
        <v>0.48</v>
      </c>
      <c r="J16" s="5">
        <v>8.75</v>
      </c>
      <c r="K16" s="27"/>
      <c r="O16" s="12"/>
      <c r="P16" s="12"/>
      <c r="Q16" s="12"/>
    </row>
    <row r="17" spans="1:18" x14ac:dyDescent="0.25">
      <c r="A17" t="s">
        <v>17</v>
      </c>
      <c r="B17" s="18">
        <v>8444</v>
      </c>
      <c r="C17" s="2">
        <f t="shared" si="0"/>
        <v>9.8294647086688762</v>
      </c>
      <c r="D17" s="20">
        <v>0.82771219999995083</v>
      </c>
      <c r="E17" s="1">
        <v>8156</v>
      </c>
      <c r="F17" s="20">
        <f t="shared" si="1"/>
        <v>6.6454144188327611</v>
      </c>
      <c r="G17" s="2">
        <v>0.66205919999629259</v>
      </c>
      <c r="H17" s="5">
        <v>7614</v>
      </c>
      <c r="I17" s="12">
        <v>0</v>
      </c>
      <c r="J17" s="5">
        <v>7.11</v>
      </c>
      <c r="K17" s="27"/>
      <c r="O17" s="14"/>
      <c r="P17" s="14"/>
      <c r="Q17" s="14"/>
    </row>
    <row r="18" spans="1:18" x14ac:dyDescent="0.25">
      <c r="A18" t="s">
        <v>18</v>
      </c>
      <c r="B18" s="18">
        <v>8266</v>
      </c>
      <c r="C18" s="2">
        <f t="shared" si="0"/>
        <v>7.6820711347689334</v>
      </c>
      <c r="D18" s="20">
        <v>1.003378599998541</v>
      </c>
      <c r="E18" s="1">
        <v>8362</v>
      </c>
      <c r="F18" s="20">
        <f t="shared" si="1"/>
        <v>8.741927768476442</v>
      </c>
      <c r="G18" s="2">
        <v>0.43642339999496471</v>
      </c>
      <c r="H18" s="5">
        <v>7631</v>
      </c>
      <c r="I18" s="12">
        <v>0</v>
      </c>
      <c r="J18" s="5">
        <v>8.07</v>
      </c>
      <c r="K18" s="27"/>
      <c r="O18" s="14"/>
      <c r="P18" s="14"/>
      <c r="Q18" s="14"/>
    </row>
    <row r="19" spans="1:18" x14ac:dyDescent="0.25">
      <c r="A19" t="s">
        <v>19</v>
      </c>
      <c r="B19" s="18">
        <v>8321</v>
      </c>
      <c r="C19" s="2">
        <f t="shared" si="0"/>
        <v>9.3618555462083872</v>
      </c>
      <c r="D19" s="20">
        <v>0.64674989999912214</v>
      </c>
      <c r="E19" s="1">
        <v>7862</v>
      </c>
      <c r="F19" s="20">
        <f t="shared" si="1"/>
        <v>4.0702111422030018</v>
      </c>
      <c r="G19" s="2">
        <v>1.0397434000042269</v>
      </c>
      <c r="H19" s="6">
        <v>7542</v>
      </c>
      <c r="I19" s="14">
        <v>0</v>
      </c>
      <c r="J19" s="6">
        <v>7.69</v>
      </c>
      <c r="K19" s="27"/>
      <c r="O19" s="14"/>
      <c r="P19" s="14"/>
      <c r="Q19" s="14"/>
    </row>
    <row r="20" spans="1:18" x14ac:dyDescent="0.25">
      <c r="A20" t="s">
        <v>20</v>
      </c>
      <c r="B20" s="18">
        <v>13569</v>
      </c>
      <c r="C20" s="2">
        <f t="shared" si="0"/>
        <v>5.9252708379394203</v>
      </c>
      <c r="D20" s="20">
        <v>0.66930080000020098</v>
      </c>
      <c r="E20" s="1">
        <v>13743</v>
      </c>
      <c r="F20" s="20">
        <f t="shared" si="1"/>
        <v>7.1163501418904165</v>
      </c>
      <c r="G20" s="2">
        <v>0.34810020000441</v>
      </c>
      <c r="H20" s="6">
        <v>12765</v>
      </c>
      <c r="I20" s="14">
        <v>0</v>
      </c>
      <c r="J20" s="6">
        <v>6.32</v>
      </c>
      <c r="K20" s="27"/>
      <c r="O20" s="14"/>
      <c r="P20" s="14"/>
      <c r="Q20" s="14"/>
    </row>
    <row r="21" spans="1:18" x14ac:dyDescent="0.25">
      <c r="A21" t="s">
        <v>21</v>
      </c>
      <c r="B21" s="18">
        <v>13219</v>
      </c>
      <c r="C21" s="2">
        <f t="shared" si="0"/>
        <v>4.1682426809894846</v>
      </c>
      <c r="D21" s="20">
        <v>0.7284732999978587</v>
      </c>
      <c r="E21" s="1">
        <v>14219</v>
      </c>
      <c r="F21" s="20">
        <f t="shared" si="1"/>
        <v>10.907940080174415</v>
      </c>
      <c r="G21" s="2">
        <v>0.27146740000171121</v>
      </c>
      <c r="H21" s="6">
        <v>12668</v>
      </c>
      <c r="I21" s="14">
        <v>0</v>
      </c>
      <c r="J21" s="6">
        <v>6.49</v>
      </c>
      <c r="K21" s="27"/>
      <c r="O21" s="14"/>
      <c r="P21" s="14"/>
      <c r="Q21" s="14"/>
    </row>
    <row r="22" spans="1:18" x14ac:dyDescent="0.25">
      <c r="A22" t="s">
        <v>22</v>
      </c>
      <c r="B22" s="18">
        <v>13889</v>
      </c>
      <c r="C22" s="2">
        <f t="shared" si="0"/>
        <v>10.12311901504788</v>
      </c>
      <c r="D22" s="20">
        <v>0.23304620000999421</v>
      </c>
      <c r="E22" s="1">
        <v>14239</v>
      </c>
      <c r="F22" s="20">
        <f t="shared" si="1"/>
        <v>12.332326708336259</v>
      </c>
      <c r="G22" s="2">
        <v>0.19329880000441341</v>
      </c>
      <c r="H22" s="6">
        <v>12483</v>
      </c>
      <c r="I22" s="14">
        <v>0</v>
      </c>
      <c r="J22" s="6">
        <v>6.37</v>
      </c>
      <c r="K22" s="27"/>
      <c r="O22" s="14"/>
      <c r="P22" s="14"/>
      <c r="Q22" s="14"/>
    </row>
    <row r="23" spans="1:18" x14ac:dyDescent="0.25">
      <c r="A23" t="s">
        <v>23</v>
      </c>
      <c r="B23" s="18">
        <v>9800</v>
      </c>
      <c r="C23" s="2">
        <f t="shared" si="0"/>
        <v>3.3367346938775508</v>
      </c>
      <c r="D23" s="20">
        <v>0.58634219999657944</v>
      </c>
      <c r="E23" s="1">
        <v>10789</v>
      </c>
      <c r="F23" s="20">
        <f t="shared" si="1"/>
        <v>12.197608675502828</v>
      </c>
      <c r="G23" s="2">
        <v>0.41167649999260902</v>
      </c>
      <c r="H23" s="6">
        <v>9473</v>
      </c>
      <c r="I23" s="14">
        <v>0</v>
      </c>
      <c r="J23" s="6">
        <v>8.27</v>
      </c>
      <c r="K23" s="27"/>
      <c r="O23" s="14"/>
      <c r="P23" s="14"/>
      <c r="Q23" s="14"/>
    </row>
    <row r="24" spans="1:18" x14ac:dyDescent="0.25">
      <c r="A24" t="s">
        <v>24</v>
      </c>
      <c r="B24" s="18">
        <v>10712</v>
      </c>
      <c r="C24" s="2">
        <f t="shared" si="0"/>
        <v>12.070575056011949</v>
      </c>
      <c r="D24" s="20">
        <v>0.57583909999812022</v>
      </c>
      <c r="E24" s="1">
        <v>10628</v>
      </c>
      <c r="F24" s="20">
        <f t="shared" si="1"/>
        <v>11.375611592021077</v>
      </c>
      <c r="G24" s="2">
        <v>0.58301930000016</v>
      </c>
      <c r="H24" s="6">
        <v>9419</v>
      </c>
      <c r="I24" s="14">
        <v>0</v>
      </c>
      <c r="J24" s="6">
        <v>7.02</v>
      </c>
      <c r="K24" s="27"/>
      <c r="O24" s="14"/>
      <c r="P24" s="14"/>
      <c r="Q24" s="14"/>
    </row>
    <row r="25" spans="1:18" x14ac:dyDescent="0.25">
      <c r="A25" t="s">
        <v>25</v>
      </c>
      <c r="B25" s="18">
        <v>9842</v>
      </c>
      <c r="C25" s="2">
        <f t="shared" si="0"/>
        <v>2.6925421662263767</v>
      </c>
      <c r="D25" s="20">
        <v>0.59150039999803994</v>
      </c>
      <c r="E25" s="1">
        <v>10354</v>
      </c>
      <c r="F25" s="20">
        <f t="shared" si="1"/>
        <v>7.5043461464168431</v>
      </c>
      <c r="G25" s="2">
        <v>0.3458085000020219</v>
      </c>
      <c r="H25" s="6">
        <v>9577</v>
      </c>
      <c r="I25" s="14">
        <v>0</v>
      </c>
      <c r="J25" s="6">
        <v>8.32</v>
      </c>
      <c r="K25" s="27"/>
      <c r="O25" s="14"/>
      <c r="P25" s="14"/>
      <c r="Q25" s="14"/>
    </row>
    <row r="26" spans="1:18" x14ac:dyDescent="0.25">
      <c r="A26" t="s">
        <v>26</v>
      </c>
      <c r="B26" s="18">
        <v>17607</v>
      </c>
      <c r="C26" s="2">
        <f t="shared" si="0"/>
        <v>6.7757142045777252</v>
      </c>
      <c r="D26" s="20">
        <v>0.4310710999998264</v>
      </c>
      <c r="E26" s="1">
        <v>18730</v>
      </c>
      <c r="F26" s="20">
        <f t="shared" si="1"/>
        <v>12.365189535504538</v>
      </c>
      <c r="G26" s="2">
        <v>0.39127610001014551</v>
      </c>
      <c r="H26" s="6">
        <v>16414</v>
      </c>
      <c r="I26" s="14">
        <v>0</v>
      </c>
      <c r="J26" s="6">
        <v>5.73</v>
      </c>
      <c r="K26" s="27"/>
      <c r="O26" s="14"/>
      <c r="P26" s="14"/>
      <c r="Q26" s="14"/>
    </row>
    <row r="27" spans="1:18" x14ac:dyDescent="0.25">
      <c r="A27" t="s">
        <v>27</v>
      </c>
      <c r="B27" s="18">
        <v>14066</v>
      </c>
      <c r="C27" s="2">
        <f t="shared" si="0"/>
        <v>2.1825678942129958</v>
      </c>
      <c r="D27" s="20">
        <v>0.39004199999908451</v>
      </c>
      <c r="E27" s="1">
        <v>14847</v>
      </c>
      <c r="F27" s="20">
        <f t="shared" si="1"/>
        <v>7.328079746750185</v>
      </c>
      <c r="G27" s="2">
        <v>0.29291720000037458</v>
      </c>
      <c r="H27" s="6">
        <v>13759</v>
      </c>
      <c r="I27" s="14">
        <v>0</v>
      </c>
      <c r="J27" s="6">
        <v>5.79</v>
      </c>
      <c r="K27" s="27"/>
      <c r="O27" s="14"/>
      <c r="P27" s="14"/>
      <c r="Q27" s="14"/>
    </row>
    <row r="28" spans="1:18" x14ac:dyDescent="0.25">
      <c r="A28" t="s">
        <v>28</v>
      </c>
      <c r="B28" s="18">
        <v>14495</v>
      </c>
      <c r="C28" s="2">
        <f t="shared" si="0"/>
        <v>2.5112107623318383</v>
      </c>
      <c r="D28" s="20">
        <v>0.37908080000488548</v>
      </c>
      <c r="E28" s="1">
        <v>16012</v>
      </c>
      <c r="F28" s="20">
        <f t="shared" si="1"/>
        <v>11.747439420434674</v>
      </c>
      <c r="G28" s="2">
        <v>0.23309549999248699</v>
      </c>
      <c r="H28" s="6">
        <v>14131</v>
      </c>
      <c r="I28" s="14">
        <v>0</v>
      </c>
      <c r="J28" s="6">
        <v>6.48</v>
      </c>
      <c r="K28" s="27"/>
      <c r="O28" s="14"/>
      <c r="P28" s="15"/>
      <c r="Q28" s="15"/>
      <c r="R28" s="14"/>
    </row>
    <row r="29" spans="1:18" x14ac:dyDescent="0.25">
      <c r="A29" t="s">
        <v>29</v>
      </c>
      <c r="B29" s="18">
        <v>12470</v>
      </c>
      <c r="C29" s="2">
        <f t="shared" si="0"/>
        <v>6.5677626303127514</v>
      </c>
      <c r="D29" s="20">
        <v>0.5150798999966355</v>
      </c>
      <c r="E29" s="1">
        <v>13800</v>
      </c>
      <c r="F29" s="20">
        <f t="shared" si="1"/>
        <v>15.572463768115943</v>
      </c>
      <c r="G29" s="2">
        <v>0.28144389999215491</v>
      </c>
      <c r="H29" s="6">
        <v>11651</v>
      </c>
      <c r="I29" s="14">
        <v>0</v>
      </c>
      <c r="J29" s="6">
        <v>6.93</v>
      </c>
      <c r="K29" s="27"/>
      <c r="O29" s="14"/>
      <c r="P29" s="15"/>
      <c r="Q29" s="15"/>
      <c r="R29" s="14"/>
    </row>
    <row r="30" spans="1:18" x14ac:dyDescent="0.25">
      <c r="A30" t="s">
        <v>30</v>
      </c>
      <c r="B30" s="18">
        <v>11224</v>
      </c>
      <c r="C30" s="2">
        <f t="shared" si="0"/>
        <v>11.288310762651461</v>
      </c>
      <c r="D30" s="20">
        <v>0.36370869999518618</v>
      </c>
      <c r="E30" s="1">
        <v>11737</v>
      </c>
      <c r="F30" s="20">
        <f t="shared" si="1"/>
        <v>15.165715259435972</v>
      </c>
      <c r="G30" s="2">
        <v>0.2373747000092408</v>
      </c>
      <c r="H30" s="6">
        <v>9957</v>
      </c>
      <c r="I30" s="14">
        <v>7.0000000000000007E-2</v>
      </c>
      <c r="J30" s="6">
        <v>6.16</v>
      </c>
      <c r="K30" s="27"/>
      <c r="O30" s="14"/>
      <c r="P30" s="15"/>
      <c r="Q30" s="15"/>
      <c r="R30" s="14"/>
    </row>
    <row r="31" spans="1:18" x14ac:dyDescent="0.25">
      <c r="A31" t="s">
        <v>31</v>
      </c>
      <c r="B31" s="18">
        <v>11565</v>
      </c>
      <c r="C31" s="2">
        <f t="shared" si="0"/>
        <v>5.4042369217466497</v>
      </c>
      <c r="D31" s="20">
        <v>0.66804610000690445</v>
      </c>
      <c r="E31" s="1">
        <v>12507</v>
      </c>
      <c r="F31" s="20">
        <f t="shared" si="1"/>
        <v>12.528983769089312</v>
      </c>
      <c r="G31" s="2">
        <v>0.24654809999628921</v>
      </c>
      <c r="H31" s="6">
        <v>10940</v>
      </c>
      <c r="I31" s="14">
        <v>0</v>
      </c>
      <c r="J31" s="6">
        <v>6.77</v>
      </c>
      <c r="K31" s="27"/>
      <c r="O31" s="14"/>
      <c r="P31" s="15"/>
      <c r="Q31" s="15"/>
      <c r="R31" s="14"/>
    </row>
    <row r="32" spans="1:18" x14ac:dyDescent="0.25">
      <c r="A32" t="s">
        <v>32</v>
      </c>
      <c r="B32" s="18">
        <v>9704</v>
      </c>
      <c r="C32" s="2">
        <f t="shared" si="0"/>
        <v>7.1310799670239078</v>
      </c>
      <c r="D32" s="20">
        <v>0.54844369999773335</v>
      </c>
      <c r="E32" s="1">
        <v>9923</v>
      </c>
      <c r="F32" s="20">
        <f t="shared" si="1"/>
        <v>9.180691323188551</v>
      </c>
      <c r="G32" s="2">
        <v>0.23726550000719729</v>
      </c>
      <c r="H32" s="6">
        <v>9012</v>
      </c>
      <c r="I32" s="14">
        <v>0.09</v>
      </c>
      <c r="J32" s="6">
        <v>8.51</v>
      </c>
      <c r="K32" s="27"/>
      <c r="O32" s="14"/>
      <c r="P32" s="15"/>
      <c r="Q32" s="15"/>
      <c r="R32" s="14"/>
    </row>
    <row r="33" spans="1:18" x14ac:dyDescent="0.25">
      <c r="A33" t="s">
        <v>33</v>
      </c>
      <c r="B33" s="18">
        <v>10241</v>
      </c>
      <c r="C33" s="2">
        <f t="shared" si="0"/>
        <v>21.5311004784689</v>
      </c>
      <c r="D33" s="20">
        <v>0.42600160000438342</v>
      </c>
      <c r="E33" s="1">
        <v>9812</v>
      </c>
      <c r="F33" s="20">
        <f t="shared" si="1"/>
        <v>18.100285364859356</v>
      </c>
      <c r="G33" s="2">
        <v>0.31072580000909511</v>
      </c>
      <c r="H33" s="6">
        <v>8036</v>
      </c>
      <c r="I33" s="14">
        <v>0</v>
      </c>
      <c r="J33" s="6">
        <v>7.29</v>
      </c>
      <c r="K33" s="27"/>
      <c r="O33" s="14"/>
      <c r="P33" s="15"/>
      <c r="Q33" s="15"/>
      <c r="R33" s="14"/>
    </row>
    <row r="34" spans="1:18" x14ac:dyDescent="0.25">
      <c r="A34" t="s">
        <v>34</v>
      </c>
      <c r="B34" s="18">
        <v>8904</v>
      </c>
      <c r="C34" s="2">
        <f t="shared" si="0"/>
        <v>7.6370170709793346</v>
      </c>
      <c r="D34" s="20">
        <v>0.43253330000152351</v>
      </c>
      <c r="E34" s="1">
        <v>9337</v>
      </c>
      <c r="F34" s="20">
        <f t="shared" si="1"/>
        <v>11.920317018314233</v>
      </c>
      <c r="G34" s="2">
        <v>0.48939859999518381</v>
      </c>
      <c r="H34" s="6">
        <v>8224</v>
      </c>
      <c r="I34" s="14">
        <v>0</v>
      </c>
      <c r="J34" s="6">
        <v>7.36</v>
      </c>
      <c r="K34" s="27"/>
      <c r="O34" s="14"/>
      <c r="P34" s="15"/>
      <c r="Q34" s="15"/>
      <c r="R34" s="14"/>
    </row>
    <row r="35" spans="1:18" x14ac:dyDescent="0.25">
      <c r="A35" t="s">
        <v>35</v>
      </c>
      <c r="B35" s="18">
        <v>24474</v>
      </c>
      <c r="C35" s="2">
        <f t="shared" si="0"/>
        <v>13.042412355969601</v>
      </c>
      <c r="D35" s="20">
        <v>3.633493800007273</v>
      </c>
      <c r="E35" s="1">
        <v>22424</v>
      </c>
      <c r="F35" s="20">
        <f t="shared" si="1"/>
        <v>5.0927577595433462</v>
      </c>
      <c r="G35" s="2">
        <v>3.2086127999937162</v>
      </c>
      <c r="H35" s="6">
        <v>21282</v>
      </c>
      <c r="I35" s="15">
        <v>0.26</v>
      </c>
      <c r="J35" s="7">
        <v>84.88</v>
      </c>
      <c r="K35" s="6">
        <v>21338.6</v>
      </c>
      <c r="O35" s="12"/>
      <c r="P35" s="16"/>
      <c r="Q35" s="13"/>
      <c r="R35" s="12"/>
    </row>
    <row r="36" spans="1:18" x14ac:dyDescent="0.25">
      <c r="A36" t="s">
        <v>36</v>
      </c>
      <c r="B36" s="18">
        <v>27246</v>
      </c>
      <c r="C36" s="2">
        <f t="shared" si="0"/>
        <v>11.733832489172723</v>
      </c>
      <c r="D36" s="20">
        <v>6.1859014999936326</v>
      </c>
      <c r="E36" s="1">
        <v>25105</v>
      </c>
      <c r="F36" s="20">
        <f t="shared" si="1"/>
        <v>4.2063333997211707</v>
      </c>
      <c r="G36" s="2">
        <v>2.8914675999985771</v>
      </c>
      <c r="H36" s="6">
        <v>24049</v>
      </c>
      <c r="I36" s="15">
        <v>0</v>
      </c>
      <c r="J36" s="7">
        <v>67.930000000000007</v>
      </c>
      <c r="K36" s="6">
        <v>24049</v>
      </c>
      <c r="O36" s="12"/>
      <c r="P36" s="16"/>
      <c r="Q36" s="13"/>
      <c r="R36" s="12"/>
    </row>
    <row r="37" spans="1:18" x14ac:dyDescent="0.25">
      <c r="A37" t="s">
        <v>37</v>
      </c>
      <c r="B37" s="18">
        <v>25177</v>
      </c>
      <c r="C37" s="2">
        <f t="shared" si="0"/>
        <v>8.3727211343686694</v>
      </c>
      <c r="D37" s="20">
        <v>4.3589773999992758</v>
      </c>
      <c r="E37" s="1">
        <v>24591</v>
      </c>
      <c r="F37" s="20">
        <f t="shared" si="1"/>
        <v>6.1892562319547801</v>
      </c>
      <c r="G37" s="2">
        <v>2.4766557999973879</v>
      </c>
      <c r="H37" s="6">
        <v>23069</v>
      </c>
      <c r="I37" s="15">
        <v>1.48</v>
      </c>
      <c r="J37" s="7">
        <v>80.069999999999993</v>
      </c>
      <c r="K37" s="6">
        <v>23416.7</v>
      </c>
      <c r="O37" s="12"/>
      <c r="P37" s="16"/>
      <c r="Q37" s="13"/>
      <c r="R37" s="12"/>
    </row>
    <row r="38" spans="1:18" x14ac:dyDescent="0.25">
      <c r="A38" t="s">
        <v>38</v>
      </c>
      <c r="B38" s="18">
        <v>25179</v>
      </c>
      <c r="C38" s="2">
        <f t="shared" si="0"/>
        <v>1.7236586043925493</v>
      </c>
      <c r="D38" s="20">
        <v>3.523091600000043</v>
      </c>
      <c r="E38" s="1">
        <v>25367</v>
      </c>
      <c r="F38" s="20">
        <f t="shared" si="1"/>
        <v>2.4520045728702646</v>
      </c>
      <c r="G38" s="2">
        <v>1.3666774000012081</v>
      </c>
      <c r="H38" s="6">
        <v>24745</v>
      </c>
      <c r="I38" s="15">
        <v>0</v>
      </c>
      <c r="J38" s="7">
        <v>58.51</v>
      </c>
      <c r="K38" s="6">
        <v>24745</v>
      </c>
      <c r="O38" s="12"/>
      <c r="P38" s="16"/>
      <c r="Q38" s="13"/>
      <c r="R38" s="12"/>
    </row>
    <row r="39" spans="1:18" x14ac:dyDescent="0.25">
      <c r="A39" t="s">
        <v>39</v>
      </c>
      <c r="B39" s="18">
        <v>26018</v>
      </c>
      <c r="C39" s="2">
        <f t="shared" si="0"/>
        <v>13.179337381812593</v>
      </c>
      <c r="D39" s="20">
        <v>3.2063218999974201</v>
      </c>
      <c r="E39" s="1">
        <v>24432</v>
      </c>
      <c r="F39" s="20">
        <f t="shared" si="1"/>
        <v>7.5433857236411255</v>
      </c>
      <c r="G39" s="2">
        <v>3.1447389999957518</v>
      </c>
      <c r="H39" s="6">
        <v>22589</v>
      </c>
      <c r="I39" s="15">
        <v>0.01</v>
      </c>
      <c r="J39" s="7">
        <v>84.44</v>
      </c>
      <c r="K39" s="6">
        <v>22591.8</v>
      </c>
      <c r="O39" s="12"/>
      <c r="P39" s="16"/>
      <c r="Q39" s="13"/>
      <c r="R39" s="12"/>
    </row>
    <row r="40" spans="1:18" x14ac:dyDescent="0.25">
      <c r="A40" t="s">
        <v>40</v>
      </c>
      <c r="B40" s="18">
        <v>24624</v>
      </c>
      <c r="C40" s="2">
        <f t="shared" si="0"/>
        <v>12.918291098115658</v>
      </c>
      <c r="D40" s="20">
        <v>4.815901699999813</v>
      </c>
      <c r="E40" s="1">
        <v>24723</v>
      </c>
      <c r="F40" s="20">
        <f t="shared" si="1"/>
        <v>13.266998341625207</v>
      </c>
      <c r="G40" s="2">
        <v>4.333941999997478</v>
      </c>
      <c r="H40" s="6">
        <v>21443</v>
      </c>
      <c r="I40" s="15">
        <v>0</v>
      </c>
      <c r="J40" s="7">
        <v>82.5</v>
      </c>
      <c r="K40" s="6">
        <v>21443</v>
      </c>
      <c r="O40" s="12"/>
      <c r="P40" s="16"/>
      <c r="Q40" s="13"/>
      <c r="R40" s="12"/>
    </row>
    <row r="41" spans="1:18" x14ac:dyDescent="0.25">
      <c r="A41" t="s">
        <v>41</v>
      </c>
      <c r="B41" s="18">
        <v>24474</v>
      </c>
      <c r="C41" s="2">
        <f t="shared" si="0"/>
        <v>13.042412355969601</v>
      </c>
      <c r="D41" s="20">
        <v>3.6269304000015841</v>
      </c>
      <c r="E41" s="1">
        <v>22424</v>
      </c>
      <c r="F41" s="20">
        <f t="shared" si="1"/>
        <v>5.0927577595433462</v>
      </c>
      <c r="G41" s="2">
        <v>3.1707431000104411</v>
      </c>
      <c r="H41" s="6">
        <v>21282</v>
      </c>
      <c r="I41" s="15">
        <v>0.39</v>
      </c>
      <c r="J41" s="7">
        <v>95.23</v>
      </c>
      <c r="K41" s="6">
        <v>21365.5</v>
      </c>
      <c r="O41" s="12"/>
      <c r="P41" s="16"/>
      <c r="Q41" s="13"/>
      <c r="R41" s="12"/>
    </row>
    <row r="42" spans="1:18" x14ac:dyDescent="0.25">
      <c r="A42" t="s">
        <v>42</v>
      </c>
      <c r="B42" s="18">
        <v>42058</v>
      </c>
      <c r="C42" s="2">
        <f t="shared" si="0"/>
        <v>7.7131580198773131</v>
      </c>
      <c r="D42" s="20">
        <v>2.6140996000031009</v>
      </c>
      <c r="E42" s="1">
        <v>41559</v>
      </c>
      <c r="F42" s="20">
        <f t="shared" si="1"/>
        <v>6.6050674944055432</v>
      </c>
      <c r="G42" s="2">
        <v>1.8484773999953179</v>
      </c>
      <c r="H42" s="6">
        <v>38814</v>
      </c>
      <c r="I42" s="15">
        <v>0.16</v>
      </c>
      <c r="J42" s="7">
        <v>73.430000000000007</v>
      </c>
      <c r="K42" s="6">
        <v>38877.5</v>
      </c>
      <c r="O42" s="12"/>
      <c r="P42" s="16"/>
      <c r="Q42" s="13"/>
      <c r="R42" s="12"/>
    </row>
    <row r="43" spans="1:18" x14ac:dyDescent="0.25">
      <c r="A43" t="s">
        <v>43</v>
      </c>
      <c r="B43" s="18">
        <v>33097</v>
      </c>
      <c r="C43" s="2">
        <f t="shared" si="0"/>
        <v>11.581110070399129</v>
      </c>
      <c r="D43" s="20">
        <v>4.7663797999994131</v>
      </c>
      <c r="E43" s="1">
        <v>31316</v>
      </c>
      <c r="F43" s="20">
        <f t="shared" si="1"/>
        <v>6.5525609911866134</v>
      </c>
      <c r="G43" s="2">
        <v>3.9645580000069458</v>
      </c>
      <c r="H43" s="6">
        <v>29264</v>
      </c>
      <c r="I43" s="15">
        <v>1.05</v>
      </c>
      <c r="J43" s="7">
        <v>92.64</v>
      </c>
      <c r="K43" s="6">
        <v>29578.2</v>
      </c>
      <c r="O43" s="12"/>
      <c r="P43" s="16"/>
      <c r="Q43" s="13"/>
      <c r="R43" s="12"/>
    </row>
    <row r="44" spans="1:18" x14ac:dyDescent="0.25">
      <c r="A44" t="s">
        <v>44</v>
      </c>
      <c r="B44" s="18">
        <v>52633</v>
      </c>
      <c r="C44" s="2">
        <f t="shared" si="0"/>
        <v>4.6377747800809379</v>
      </c>
      <c r="D44" s="20">
        <v>2.833437799999956</v>
      </c>
      <c r="E44" s="1">
        <v>52956</v>
      </c>
      <c r="F44" s="20">
        <f t="shared" si="1"/>
        <v>5.2194274492031125</v>
      </c>
      <c r="G44" s="2">
        <v>2.3191372000001138</v>
      </c>
      <c r="H44" s="6">
        <v>50192</v>
      </c>
      <c r="I44" s="15">
        <v>0.43</v>
      </c>
      <c r="J44" s="7">
        <v>63.04</v>
      </c>
      <c r="K44" s="6">
        <v>50411</v>
      </c>
      <c r="O44" s="12"/>
      <c r="P44" s="16"/>
      <c r="Q44" s="13"/>
      <c r="R44" s="12"/>
    </row>
    <row r="45" spans="1:18" x14ac:dyDescent="0.25">
      <c r="A45" t="s">
        <v>45</v>
      </c>
      <c r="B45" s="18">
        <v>37085</v>
      </c>
      <c r="C45" s="2">
        <f t="shared" si="0"/>
        <v>3.3382769313738709</v>
      </c>
      <c r="D45" s="20">
        <v>5.8231239000015194</v>
      </c>
      <c r="E45" s="1">
        <v>41940</v>
      </c>
      <c r="F45" s="20">
        <f t="shared" si="1"/>
        <v>14.527896995708153</v>
      </c>
      <c r="G45" s="2">
        <v>2.584892700004275</v>
      </c>
      <c r="H45" s="6">
        <v>35847</v>
      </c>
      <c r="I45" s="15">
        <v>1.32</v>
      </c>
      <c r="J45" s="7">
        <v>72.97</v>
      </c>
      <c r="K45" s="6">
        <v>36328.400000000001</v>
      </c>
      <c r="O45" s="12"/>
      <c r="P45" s="16"/>
      <c r="Q45" s="13"/>
      <c r="R45" s="12"/>
    </row>
    <row r="46" spans="1:18" x14ac:dyDescent="0.25">
      <c r="A46" t="s">
        <v>46</v>
      </c>
      <c r="B46" s="18">
        <v>29547</v>
      </c>
      <c r="C46" s="2">
        <f t="shared" si="0"/>
        <v>14.136798998206249</v>
      </c>
      <c r="D46" s="20">
        <v>4.7171739000041271</v>
      </c>
      <c r="E46" s="1">
        <v>29558</v>
      </c>
      <c r="F46" s="20">
        <f t="shared" si="1"/>
        <v>14.168752960281481</v>
      </c>
      <c r="G46" s="2">
        <v>5.4733392000052854</v>
      </c>
      <c r="H46" s="6">
        <v>25370</v>
      </c>
      <c r="I46" s="15">
        <v>0.87</v>
      </c>
      <c r="J46" s="7">
        <v>90.97</v>
      </c>
      <c r="K46" s="6">
        <v>25594.9</v>
      </c>
      <c r="O46" s="14"/>
      <c r="P46" s="15"/>
      <c r="Q46" s="15"/>
      <c r="R46" s="14"/>
    </row>
    <row r="47" spans="1:18" x14ac:dyDescent="0.25">
      <c r="A47" t="s">
        <v>47</v>
      </c>
      <c r="B47" s="18">
        <v>32226</v>
      </c>
      <c r="C47" s="2">
        <f t="shared" si="0"/>
        <v>7.7235772357723578</v>
      </c>
      <c r="D47" s="20">
        <v>81.967683099996066</v>
      </c>
      <c r="E47" s="1">
        <v>30881</v>
      </c>
      <c r="F47" s="20">
        <f t="shared" si="1"/>
        <v>3.7045432466565198</v>
      </c>
      <c r="G47" s="2">
        <v>32.571556900002179</v>
      </c>
      <c r="H47" s="5">
        <v>29737</v>
      </c>
      <c r="I47" s="16">
        <v>1.01</v>
      </c>
      <c r="J47" s="8">
        <v>641.03</v>
      </c>
      <c r="K47" s="5">
        <v>30042.799999999999</v>
      </c>
      <c r="O47" s="14"/>
      <c r="P47" s="15"/>
      <c r="Q47" s="15"/>
      <c r="R47" s="14"/>
    </row>
    <row r="48" spans="1:18" x14ac:dyDescent="0.25">
      <c r="A48" t="s">
        <v>48</v>
      </c>
      <c r="B48" s="18">
        <v>31873</v>
      </c>
      <c r="C48" s="2">
        <f t="shared" si="0"/>
        <v>6.1494054528911617</v>
      </c>
      <c r="D48" s="20">
        <v>54.387648100004299</v>
      </c>
      <c r="E48" s="1">
        <v>31099</v>
      </c>
      <c r="F48" s="20">
        <f t="shared" si="1"/>
        <v>3.8136274478279044</v>
      </c>
      <c r="G48" s="2">
        <v>13.598189399999679</v>
      </c>
      <c r="H48" s="5">
        <v>29913</v>
      </c>
      <c r="I48" s="16">
        <v>0.57999999999999996</v>
      </c>
      <c r="J48" s="8">
        <v>607.22</v>
      </c>
      <c r="K48" s="5">
        <v>30090</v>
      </c>
      <c r="O48" s="14"/>
      <c r="P48" s="15"/>
      <c r="Q48" s="15"/>
      <c r="R48" s="14"/>
    </row>
    <row r="49" spans="1:18" x14ac:dyDescent="0.25">
      <c r="A49" t="s">
        <v>49</v>
      </c>
      <c r="B49" s="18">
        <v>31897</v>
      </c>
      <c r="C49" s="2">
        <f t="shared" si="0"/>
        <v>7.7185942251622413</v>
      </c>
      <c r="D49" s="20">
        <v>69.857815199997276</v>
      </c>
      <c r="E49" s="1">
        <v>32037</v>
      </c>
      <c r="F49" s="20">
        <f t="shared" si="1"/>
        <v>8.1218591004151452</v>
      </c>
      <c r="G49" s="2">
        <v>38.440258300004643</v>
      </c>
      <c r="H49" s="5">
        <v>29435</v>
      </c>
      <c r="I49" s="16">
        <v>1.42</v>
      </c>
      <c r="J49" s="8">
        <v>612.36</v>
      </c>
      <c r="K49" s="5">
        <v>29862.400000000001</v>
      </c>
      <c r="O49" s="14"/>
      <c r="P49" s="15"/>
      <c r="Q49" s="15"/>
      <c r="R49" s="14"/>
    </row>
    <row r="50" spans="1:18" x14ac:dyDescent="0.25">
      <c r="A50" t="s">
        <v>50</v>
      </c>
      <c r="B50" s="18">
        <v>35521</v>
      </c>
      <c r="C50" s="2">
        <f t="shared" si="0"/>
        <v>9.2818332817206723</v>
      </c>
      <c r="D50" s="20">
        <v>32.335371799999848</v>
      </c>
      <c r="E50" s="1">
        <v>34421</v>
      </c>
      <c r="F50" s="20">
        <f t="shared" si="1"/>
        <v>6.3827314720664701</v>
      </c>
      <c r="G50" s="2">
        <v>36.137699300001259</v>
      </c>
      <c r="H50" s="5">
        <v>32224</v>
      </c>
      <c r="I50" s="16">
        <v>0.15</v>
      </c>
      <c r="J50" s="8">
        <v>404.43</v>
      </c>
      <c r="K50" s="5">
        <v>32273.3</v>
      </c>
      <c r="O50" s="14"/>
      <c r="P50" s="15"/>
      <c r="Q50" s="15"/>
      <c r="R50" s="14"/>
    </row>
    <row r="51" spans="1:18" x14ac:dyDescent="0.25">
      <c r="A51" t="s">
        <v>51</v>
      </c>
      <c r="B51" s="18">
        <v>35140</v>
      </c>
      <c r="C51" s="2">
        <f t="shared" si="0"/>
        <v>11.585088218554354</v>
      </c>
      <c r="D51" s="20">
        <v>30.605785000007021</v>
      </c>
      <c r="E51" s="1">
        <v>33481</v>
      </c>
      <c r="F51" s="20">
        <f t="shared" si="1"/>
        <v>7.204085899465368</v>
      </c>
      <c r="G51" s="2">
        <v>28.77461110000149</v>
      </c>
      <c r="H51" s="5">
        <v>31069</v>
      </c>
      <c r="I51" s="16">
        <v>0.49</v>
      </c>
      <c r="J51" s="8">
        <v>467.58</v>
      </c>
      <c r="K51" s="5">
        <v>31221.3</v>
      </c>
      <c r="O51" s="14"/>
      <c r="P51" s="15"/>
      <c r="Q51" s="15"/>
      <c r="R51" s="14"/>
    </row>
    <row r="52" spans="1:18" x14ac:dyDescent="0.25">
      <c r="A52" t="s">
        <v>52</v>
      </c>
      <c r="B52" s="18">
        <v>31890</v>
      </c>
      <c r="C52" s="2">
        <f t="shared" si="0"/>
        <v>3.7754782063342742</v>
      </c>
      <c r="D52" s="20">
        <v>84.429321500007063</v>
      </c>
      <c r="E52" s="1">
        <v>32507</v>
      </c>
      <c r="F52" s="20">
        <f t="shared" si="1"/>
        <v>5.6018703663826255</v>
      </c>
      <c r="G52" s="2">
        <v>41.431553899994469</v>
      </c>
      <c r="H52" s="5">
        <v>30686</v>
      </c>
      <c r="I52" s="16">
        <v>0.89</v>
      </c>
      <c r="J52" s="8">
        <v>565.14</v>
      </c>
      <c r="K52" s="5">
        <v>30964</v>
      </c>
      <c r="O52" s="14"/>
      <c r="P52" s="15"/>
      <c r="Q52" s="15"/>
      <c r="R52" s="14"/>
    </row>
    <row r="53" spans="1:18" x14ac:dyDescent="0.25">
      <c r="A53" t="s">
        <v>53</v>
      </c>
      <c r="B53" s="18">
        <v>32226</v>
      </c>
      <c r="C53" s="2">
        <f t="shared" si="0"/>
        <v>7.3636194377210948</v>
      </c>
      <c r="D53" s="20">
        <v>82.241044399997918</v>
      </c>
      <c r="E53" s="1">
        <v>30881</v>
      </c>
      <c r="F53" s="20">
        <f t="shared" si="1"/>
        <v>3.3289077426249145</v>
      </c>
      <c r="G53" s="2">
        <v>32.989387299996451</v>
      </c>
      <c r="H53" s="5">
        <v>29853</v>
      </c>
      <c r="I53" s="16">
        <v>1.07</v>
      </c>
      <c r="J53" s="8">
        <v>656.14</v>
      </c>
      <c r="K53" s="5">
        <v>30176.5</v>
      </c>
      <c r="O53" s="14"/>
      <c r="P53" s="15"/>
      <c r="Q53" s="15"/>
      <c r="R53" s="14"/>
    </row>
    <row r="54" spans="1:18" x14ac:dyDescent="0.25">
      <c r="A54" t="s">
        <v>54</v>
      </c>
      <c r="B54" s="18">
        <v>54527</v>
      </c>
      <c r="C54" s="2">
        <f t="shared" si="0"/>
        <v>5.1093953454252024</v>
      </c>
      <c r="D54" s="20">
        <v>30.121783299997329</v>
      </c>
      <c r="E54" s="1">
        <v>54432</v>
      </c>
      <c r="F54" s="20">
        <f t="shared" si="1"/>
        <v>4.9437830687830688</v>
      </c>
      <c r="G54" s="2">
        <v>25.644797799992379</v>
      </c>
      <c r="H54" s="5">
        <v>51741</v>
      </c>
      <c r="I54" s="16">
        <v>0.95</v>
      </c>
      <c r="J54" s="8">
        <v>473.42</v>
      </c>
      <c r="K54" s="5">
        <v>52237.3</v>
      </c>
      <c r="O54" s="14"/>
      <c r="P54" s="15"/>
      <c r="Q54" s="15"/>
      <c r="R54" s="14"/>
    </row>
    <row r="55" spans="1:18" x14ac:dyDescent="0.25">
      <c r="A55" t="s">
        <v>55</v>
      </c>
      <c r="B55" s="18">
        <v>43578</v>
      </c>
      <c r="C55" s="2">
        <f t="shared" si="0"/>
        <v>12.322731653586672</v>
      </c>
      <c r="D55" s="20">
        <v>50.70229780000227</v>
      </c>
      <c r="E55" s="1">
        <v>40684</v>
      </c>
      <c r="F55" s="20">
        <f t="shared" si="1"/>
        <v>6.0859305869629337</v>
      </c>
      <c r="G55" s="2">
        <v>33.531962900000508</v>
      </c>
      <c r="H55" s="5">
        <v>38208</v>
      </c>
      <c r="I55" s="16">
        <v>0.68</v>
      </c>
      <c r="J55" s="8">
        <v>574.14</v>
      </c>
      <c r="K55" s="5">
        <v>38471.5</v>
      </c>
      <c r="O55" s="14"/>
      <c r="P55" s="15"/>
      <c r="Q55" s="15"/>
      <c r="R55" s="14"/>
    </row>
    <row r="56" spans="1:18" x14ac:dyDescent="0.25">
      <c r="A56" t="s">
        <v>56</v>
      </c>
      <c r="B56" s="18">
        <v>73826</v>
      </c>
      <c r="C56" s="2">
        <f t="shared" si="0"/>
        <v>9.116029583073713</v>
      </c>
      <c r="D56" s="20">
        <v>21.564875800002479</v>
      </c>
      <c r="E56" s="1">
        <v>71530</v>
      </c>
      <c r="F56" s="20">
        <f t="shared" si="1"/>
        <v>6.1987977072556966</v>
      </c>
      <c r="G56" s="2">
        <v>18.249313699998311</v>
      </c>
      <c r="H56" s="5">
        <v>67096</v>
      </c>
      <c r="I56" s="16">
        <v>0.97</v>
      </c>
      <c r="J56" s="8">
        <v>435.56</v>
      </c>
      <c r="K56" s="5">
        <v>67757.600000000006</v>
      </c>
      <c r="O56" s="12"/>
      <c r="P56" s="16"/>
      <c r="Q56" s="13"/>
      <c r="R56" s="12"/>
    </row>
    <row r="57" spans="1:18" x14ac:dyDescent="0.25">
      <c r="A57" t="s">
        <v>57</v>
      </c>
      <c r="B57" s="18">
        <v>52271</v>
      </c>
      <c r="C57" s="2">
        <f t="shared" si="0"/>
        <v>8.1326165560253294</v>
      </c>
      <c r="D57" s="20">
        <v>39.336638599997968</v>
      </c>
      <c r="E57" s="1">
        <v>52568</v>
      </c>
      <c r="F57" s="20">
        <f t="shared" si="1"/>
        <v>8.6516511946431294</v>
      </c>
      <c r="G57" s="2">
        <v>26.297334200004119</v>
      </c>
      <c r="H57" s="5">
        <v>48020</v>
      </c>
      <c r="I57" s="16">
        <v>1.57</v>
      </c>
      <c r="J57" s="8">
        <v>537.11</v>
      </c>
      <c r="K57" s="5">
        <v>48790.1</v>
      </c>
      <c r="O57" s="12"/>
      <c r="P57" s="16"/>
      <c r="Q57" s="13"/>
      <c r="R57" s="12"/>
    </row>
    <row r="58" spans="1:18" x14ac:dyDescent="0.25">
      <c r="A58" t="s">
        <v>58</v>
      </c>
      <c r="B58" s="18">
        <v>39297</v>
      </c>
      <c r="C58" s="2">
        <f t="shared" si="0"/>
        <v>12.983179377560628</v>
      </c>
      <c r="D58" s="20">
        <v>46.257370499995893</v>
      </c>
      <c r="E58" s="1">
        <v>38245</v>
      </c>
      <c r="F58" s="20">
        <f t="shared" si="1"/>
        <v>10.589619558112172</v>
      </c>
      <c r="G58" s="2">
        <v>54.719321399999899</v>
      </c>
      <c r="H58" s="5">
        <v>34195</v>
      </c>
      <c r="I58" s="16">
        <v>1.24</v>
      </c>
      <c r="J58" s="8">
        <v>495.08</v>
      </c>
      <c r="K58" s="5">
        <v>34630.400000000001</v>
      </c>
      <c r="O58" s="12"/>
      <c r="P58" s="16"/>
      <c r="Q58" s="13"/>
      <c r="R58" s="12"/>
    </row>
    <row r="59" spans="1:18" x14ac:dyDescent="0.25">
      <c r="A59" t="s">
        <v>59</v>
      </c>
      <c r="B59" s="18">
        <v>24572</v>
      </c>
      <c r="C59" s="2">
        <f t="shared" si="0"/>
        <v>9.7387270063486895</v>
      </c>
      <c r="D59" s="20">
        <v>10.174224699992919</v>
      </c>
      <c r="E59" s="1">
        <v>22799</v>
      </c>
      <c r="F59" s="20">
        <f t="shared" si="1"/>
        <v>2.7194175183122069</v>
      </c>
      <c r="G59" s="2">
        <v>2.261677199989208</v>
      </c>
      <c r="H59" s="6">
        <v>22179</v>
      </c>
      <c r="I59" s="15">
        <v>0.25</v>
      </c>
      <c r="J59" s="7">
        <v>83.07</v>
      </c>
      <c r="K59" s="6">
        <v>22235</v>
      </c>
      <c r="O59" s="12"/>
      <c r="P59" s="16"/>
      <c r="Q59" s="13"/>
      <c r="R59" s="12"/>
    </row>
    <row r="60" spans="1:18" x14ac:dyDescent="0.25">
      <c r="A60" t="s">
        <v>60</v>
      </c>
      <c r="B60" s="18">
        <v>27642</v>
      </c>
      <c r="C60" s="2">
        <f t="shared" si="0"/>
        <v>9.9667173142319658</v>
      </c>
      <c r="D60" s="20">
        <v>3.293058199997176</v>
      </c>
      <c r="E60" s="1">
        <v>26244</v>
      </c>
      <c r="F60" s="20">
        <f t="shared" si="1"/>
        <v>5.1707056851089774</v>
      </c>
      <c r="G60" s="2">
        <v>4.2744076999952094</v>
      </c>
      <c r="H60" s="6">
        <v>24887</v>
      </c>
      <c r="I60" s="15">
        <v>0.33</v>
      </c>
      <c r="J60" s="7">
        <v>63.46</v>
      </c>
      <c r="K60" s="6">
        <v>24971.3</v>
      </c>
      <c r="O60" s="12"/>
      <c r="P60" s="16"/>
      <c r="Q60" s="13"/>
      <c r="R60" s="12"/>
    </row>
    <row r="61" spans="1:18" x14ac:dyDescent="0.25">
      <c r="A61" t="s">
        <v>61</v>
      </c>
      <c r="B61" s="18">
        <v>26265</v>
      </c>
      <c r="C61" s="2">
        <f t="shared" si="0"/>
        <v>15.701503902531885</v>
      </c>
      <c r="D61" s="20">
        <v>5.378154000005452</v>
      </c>
      <c r="E61" s="1">
        <v>24562</v>
      </c>
      <c r="F61" s="20">
        <f t="shared" si="1"/>
        <v>9.8566891946909863</v>
      </c>
      <c r="G61" s="2">
        <v>6.2035547999985283</v>
      </c>
      <c r="H61" s="6">
        <v>22141</v>
      </c>
      <c r="I61" s="15">
        <v>0.06</v>
      </c>
      <c r="J61" s="7">
        <v>77.19</v>
      </c>
      <c r="K61" s="6">
        <v>22155.1</v>
      </c>
      <c r="O61" s="12"/>
      <c r="P61" s="16"/>
      <c r="Q61" s="13"/>
      <c r="R61" s="12"/>
    </row>
    <row r="62" spans="1:18" x14ac:dyDescent="0.25">
      <c r="A62" t="s">
        <v>62</v>
      </c>
      <c r="B62" s="18">
        <v>25636</v>
      </c>
      <c r="C62" s="2">
        <f t="shared" si="0"/>
        <v>3.2844437509751909</v>
      </c>
      <c r="D62" s="20">
        <v>3.2690015999978641</v>
      </c>
      <c r="E62" s="1">
        <v>26114</v>
      </c>
      <c r="F62" s="20">
        <f t="shared" si="1"/>
        <v>5.0547598989048019</v>
      </c>
      <c r="G62" s="2">
        <v>2.6036601000087098</v>
      </c>
      <c r="H62" s="6">
        <v>24794</v>
      </c>
      <c r="I62" s="15">
        <v>0</v>
      </c>
      <c r="J62" s="7">
        <v>57.91</v>
      </c>
      <c r="K62" s="6">
        <v>24794</v>
      </c>
      <c r="O62" s="12"/>
      <c r="P62" s="16"/>
      <c r="Q62" s="13"/>
      <c r="R62" s="12"/>
    </row>
    <row r="63" spans="1:18" x14ac:dyDescent="0.25">
      <c r="A63" t="s">
        <v>63</v>
      </c>
      <c r="B63" s="18">
        <v>24769</v>
      </c>
      <c r="C63" s="2">
        <f t="shared" si="0"/>
        <v>6.5000605595704304</v>
      </c>
      <c r="D63" s="20">
        <v>2.273257799999556</v>
      </c>
      <c r="E63" s="1">
        <v>23968</v>
      </c>
      <c r="F63" s="20">
        <f t="shared" si="1"/>
        <v>3.3753337783711617</v>
      </c>
      <c r="G63" s="2">
        <v>7.405624799997895</v>
      </c>
      <c r="H63" s="6">
        <v>23159</v>
      </c>
      <c r="I63" s="15">
        <v>0.06</v>
      </c>
      <c r="J63" s="7">
        <v>73.430000000000007</v>
      </c>
      <c r="K63" s="6">
        <v>23173.1</v>
      </c>
      <c r="O63" s="12"/>
      <c r="P63" s="16"/>
      <c r="Q63" s="13"/>
      <c r="R63" s="12"/>
    </row>
    <row r="64" spans="1:18" x14ac:dyDescent="0.25">
      <c r="A64" t="s">
        <v>64</v>
      </c>
      <c r="B64" s="18">
        <v>25059</v>
      </c>
      <c r="C64" s="2">
        <f t="shared" si="0"/>
        <v>11.644518935312661</v>
      </c>
      <c r="D64" s="20">
        <v>8.8759826000023168</v>
      </c>
      <c r="E64" s="1">
        <v>23699</v>
      </c>
      <c r="F64" s="20">
        <f t="shared" si="1"/>
        <v>6.5741170513523777</v>
      </c>
      <c r="G64" s="2">
        <v>4.1667146000108906</v>
      </c>
      <c r="H64" s="6">
        <v>22141</v>
      </c>
      <c r="I64" s="15">
        <v>0.18</v>
      </c>
      <c r="J64" s="7">
        <v>79.72</v>
      </c>
      <c r="K64" s="6">
        <v>22180</v>
      </c>
      <c r="O64" s="14"/>
      <c r="P64" s="15"/>
      <c r="Q64" s="15"/>
      <c r="R64" s="14"/>
    </row>
    <row r="65" spans="1:18" x14ac:dyDescent="0.25">
      <c r="A65" t="s">
        <v>65</v>
      </c>
      <c r="B65" s="18">
        <v>24572</v>
      </c>
      <c r="C65" s="2">
        <f t="shared" si="0"/>
        <v>9.8933745726843565</v>
      </c>
      <c r="D65" s="20">
        <v>9.7470990000001621</v>
      </c>
      <c r="E65" s="1">
        <v>22799</v>
      </c>
      <c r="F65" s="20">
        <f t="shared" si="1"/>
        <v>2.8860914952410193</v>
      </c>
      <c r="G65" s="2">
        <v>2.2591154999972791</v>
      </c>
      <c r="H65" s="6">
        <v>22141</v>
      </c>
      <c r="I65" s="15">
        <v>0.22</v>
      </c>
      <c r="J65" s="7">
        <v>83.55</v>
      </c>
      <c r="K65" s="6">
        <v>22189.1</v>
      </c>
      <c r="O65" s="14"/>
      <c r="P65" s="15"/>
      <c r="Q65" s="15"/>
      <c r="R65" s="14"/>
    </row>
    <row r="66" spans="1:18" x14ac:dyDescent="0.25">
      <c r="A66" t="s">
        <v>66</v>
      </c>
      <c r="B66" s="18">
        <v>38987</v>
      </c>
      <c r="C66" s="2">
        <f t="shared" si="0"/>
        <v>3.2857106214892142</v>
      </c>
      <c r="D66" s="20">
        <v>4.1657982999895466</v>
      </c>
      <c r="E66" s="1">
        <v>39988</v>
      </c>
      <c r="F66" s="20">
        <f t="shared" si="1"/>
        <v>5.706712013604081</v>
      </c>
      <c r="G66" s="2">
        <v>3.6279378000035649</v>
      </c>
      <c r="H66" s="6">
        <v>37706</v>
      </c>
      <c r="I66" s="15">
        <v>0.17</v>
      </c>
      <c r="J66" s="7">
        <v>68.959999999999994</v>
      </c>
      <c r="K66" s="6">
        <v>37770.199999999997</v>
      </c>
      <c r="O66" s="14"/>
      <c r="P66" s="15"/>
      <c r="Q66" s="15"/>
      <c r="R66" s="14"/>
    </row>
    <row r="67" spans="1:18" x14ac:dyDescent="0.25">
      <c r="A67" t="s">
        <v>67</v>
      </c>
      <c r="B67" s="18">
        <v>31521</v>
      </c>
      <c r="C67" s="2">
        <f t="shared" si="0"/>
        <v>9.5555344056343383</v>
      </c>
      <c r="D67" s="20">
        <v>4.6417318000021623</v>
      </c>
      <c r="E67" s="1">
        <v>30610</v>
      </c>
      <c r="F67" s="20">
        <f t="shared" si="1"/>
        <v>6.8637700098007182</v>
      </c>
      <c r="G67" s="2">
        <v>3.6185907000035509</v>
      </c>
      <c r="H67" s="6">
        <v>28509</v>
      </c>
      <c r="I67" s="15">
        <v>0.5</v>
      </c>
      <c r="J67" s="7">
        <v>85.82</v>
      </c>
      <c r="K67" s="6">
        <v>28652.6</v>
      </c>
      <c r="O67" s="14"/>
      <c r="P67" s="15"/>
      <c r="Q67" s="15"/>
      <c r="R67" s="14"/>
    </row>
    <row r="68" spans="1:18" x14ac:dyDescent="0.25">
      <c r="A68" t="s">
        <v>68</v>
      </c>
      <c r="B68" s="18">
        <v>54107</v>
      </c>
      <c r="C68" s="2">
        <f t="shared" ref="C68:C131" si="2">((B68 -H68)/B68 * 100)</f>
        <v>6.1470789361820097</v>
      </c>
      <c r="D68" s="20">
        <v>2.967658699999447</v>
      </c>
      <c r="E68" s="1">
        <v>54215</v>
      </c>
      <c r="F68" s="20">
        <f t="shared" ref="F68:F131" si="3">((E68 -H68)/ E68 * 100)</f>
        <v>6.3340403947247079</v>
      </c>
      <c r="G68" s="2">
        <v>1.344117299988284</v>
      </c>
      <c r="H68" s="6">
        <v>50781</v>
      </c>
      <c r="I68" s="15">
        <v>0.16</v>
      </c>
      <c r="J68" s="7">
        <v>57.83</v>
      </c>
      <c r="K68" s="6">
        <v>50863.4</v>
      </c>
      <c r="O68" s="14"/>
      <c r="P68" s="15"/>
      <c r="Q68" s="15"/>
      <c r="R68" s="14"/>
    </row>
    <row r="69" spans="1:18" x14ac:dyDescent="0.25">
      <c r="A69" t="s">
        <v>69</v>
      </c>
      <c r="B69" s="18">
        <v>37662</v>
      </c>
      <c r="C69" s="2">
        <f t="shared" si="2"/>
        <v>6.5131963252084324</v>
      </c>
      <c r="D69" s="20">
        <v>3.5619942000048468</v>
      </c>
      <c r="E69" s="1">
        <v>39351</v>
      </c>
      <c r="F69" s="20">
        <f t="shared" si="3"/>
        <v>10.525780793372469</v>
      </c>
      <c r="G69" s="2">
        <v>1.9012255999987251</v>
      </c>
      <c r="H69" s="6">
        <v>35209</v>
      </c>
      <c r="I69" s="15">
        <v>1.06</v>
      </c>
      <c r="J69" s="7">
        <v>81.010000000000005</v>
      </c>
      <c r="K69" s="6">
        <v>35589.300000000003</v>
      </c>
      <c r="O69" s="14"/>
      <c r="P69" s="15"/>
      <c r="Q69" s="15"/>
      <c r="R69" s="14"/>
    </row>
    <row r="70" spans="1:18" x14ac:dyDescent="0.25">
      <c r="A70" t="s">
        <v>70</v>
      </c>
      <c r="B70" s="18">
        <v>29840</v>
      </c>
      <c r="C70" s="2">
        <f t="shared" si="2"/>
        <v>12.63739946380697</v>
      </c>
      <c r="D70" s="20">
        <v>6.4068203000060748</v>
      </c>
      <c r="E70" s="1">
        <v>29250</v>
      </c>
      <c r="F70" s="20">
        <f t="shared" si="3"/>
        <v>10.875213675213676</v>
      </c>
      <c r="G70" s="2">
        <v>2.901041100005386</v>
      </c>
      <c r="H70" s="6">
        <v>26069</v>
      </c>
      <c r="I70" s="15">
        <v>0.51</v>
      </c>
      <c r="J70" s="7">
        <v>85.42</v>
      </c>
      <c r="K70" s="6">
        <v>26205</v>
      </c>
      <c r="O70" s="14"/>
      <c r="P70" s="15"/>
      <c r="Q70" s="15"/>
      <c r="R70" s="14"/>
    </row>
    <row r="71" spans="1:18" x14ac:dyDescent="0.25">
      <c r="A71" t="s">
        <v>71</v>
      </c>
      <c r="B71" s="18">
        <v>33026</v>
      </c>
      <c r="C71" s="2">
        <f t="shared" si="2"/>
        <v>9.7983407012656691</v>
      </c>
      <c r="D71" s="20">
        <v>82.805368500004988</v>
      </c>
      <c r="E71" s="1">
        <v>30338</v>
      </c>
      <c r="F71" s="20">
        <f t="shared" si="3"/>
        <v>1.8063155118992682</v>
      </c>
      <c r="G71" s="2">
        <v>30.74006349999399</v>
      </c>
      <c r="H71" s="5">
        <v>29790</v>
      </c>
      <c r="I71" s="16">
        <v>0.91</v>
      </c>
      <c r="J71" s="8">
        <v>628.29999999999995</v>
      </c>
      <c r="K71" s="5">
        <v>30064.7</v>
      </c>
      <c r="O71" s="14"/>
      <c r="P71" s="15"/>
      <c r="Q71" s="15"/>
      <c r="R71" s="14"/>
    </row>
    <row r="72" spans="1:18" x14ac:dyDescent="0.25">
      <c r="A72" t="s">
        <v>72</v>
      </c>
      <c r="B72" s="18">
        <v>33154</v>
      </c>
      <c r="C72" s="2">
        <f t="shared" si="2"/>
        <v>6.5301321107558667</v>
      </c>
      <c r="D72" s="20">
        <v>49.304741200001438</v>
      </c>
      <c r="E72" s="1">
        <v>32459</v>
      </c>
      <c r="F72" s="20">
        <f t="shared" si="3"/>
        <v>4.5287901660556393</v>
      </c>
      <c r="G72" s="2">
        <v>35.446158200007631</v>
      </c>
      <c r="H72" s="5">
        <v>30989</v>
      </c>
      <c r="I72" s="16">
        <v>0.91</v>
      </c>
      <c r="J72" s="8">
        <v>565.49</v>
      </c>
      <c r="K72" s="5">
        <v>31276.1</v>
      </c>
      <c r="O72" s="14"/>
      <c r="P72" s="15"/>
      <c r="Q72" s="15"/>
      <c r="R72" s="14"/>
    </row>
    <row r="73" spans="1:18" x14ac:dyDescent="0.25">
      <c r="A73" t="s">
        <v>73</v>
      </c>
      <c r="B73" s="18">
        <v>33963</v>
      </c>
      <c r="C73" s="2">
        <f t="shared" si="2"/>
        <v>10.322998557253483</v>
      </c>
      <c r="D73" s="20">
        <v>34.692505200000603</v>
      </c>
      <c r="E73" s="1">
        <v>33138</v>
      </c>
      <c r="F73" s="20">
        <f t="shared" si="3"/>
        <v>8.090409801436417</v>
      </c>
      <c r="G73" s="2">
        <v>42.302018400005181</v>
      </c>
      <c r="H73" s="5">
        <v>30457</v>
      </c>
      <c r="I73" s="16">
        <v>1.21</v>
      </c>
      <c r="J73" s="8">
        <v>539.30999999999995</v>
      </c>
      <c r="K73" s="5">
        <v>30830.7</v>
      </c>
      <c r="O73" s="14"/>
      <c r="P73" s="15"/>
      <c r="Q73" s="15"/>
      <c r="R73" s="14"/>
    </row>
    <row r="74" spans="1:18" x14ac:dyDescent="0.25">
      <c r="A74" t="s">
        <v>74</v>
      </c>
      <c r="B74" s="18">
        <v>41113</v>
      </c>
      <c r="C74" s="2">
        <f t="shared" si="2"/>
        <v>7.7931554496144777</v>
      </c>
      <c r="D74" s="20">
        <v>53.841845699993428</v>
      </c>
      <c r="E74" s="1">
        <v>38947</v>
      </c>
      <c r="F74" s="20">
        <f t="shared" si="3"/>
        <v>2.665160346111382</v>
      </c>
      <c r="G74" s="2">
        <v>28.92870119999861</v>
      </c>
      <c r="H74" s="5">
        <v>37909</v>
      </c>
      <c r="I74" s="16">
        <v>0.17</v>
      </c>
      <c r="J74" s="8">
        <v>401.54</v>
      </c>
      <c r="K74" s="5">
        <v>37973.199999999997</v>
      </c>
      <c r="O74" s="14"/>
      <c r="P74" s="15"/>
      <c r="Q74" s="15"/>
      <c r="R74" s="14"/>
    </row>
    <row r="75" spans="1:18" x14ac:dyDescent="0.25">
      <c r="A75" t="s">
        <v>75</v>
      </c>
      <c r="B75" s="18">
        <v>36775</v>
      </c>
      <c r="C75" s="2">
        <f t="shared" si="2"/>
        <v>9.5146159075458865</v>
      </c>
      <c r="D75" s="20">
        <v>33.593996999989031</v>
      </c>
      <c r="E75" s="1">
        <v>35529</v>
      </c>
      <c r="F75" s="20">
        <f t="shared" si="3"/>
        <v>6.3412986574347716</v>
      </c>
      <c r="G75" s="2">
        <v>16.07991030000267</v>
      </c>
      <c r="H75" s="5">
        <v>33276</v>
      </c>
      <c r="I75" s="16">
        <v>0.48</v>
      </c>
      <c r="J75" s="8">
        <v>540.77</v>
      </c>
      <c r="K75" s="5">
        <v>33438.300000000003</v>
      </c>
      <c r="O75" s="14"/>
      <c r="P75" s="15"/>
      <c r="Q75" s="15"/>
      <c r="R75" s="14"/>
    </row>
    <row r="76" spans="1:18" x14ac:dyDescent="0.25">
      <c r="A76" t="s">
        <v>76</v>
      </c>
      <c r="B76" s="18">
        <v>34165</v>
      </c>
      <c r="C76" s="2">
        <f t="shared" si="2"/>
        <v>11.400556124689009</v>
      </c>
      <c r="D76" s="20">
        <v>52.891686799994197</v>
      </c>
      <c r="E76" s="1">
        <v>32876</v>
      </c>
      <c r="F76" s="20">
        <f t="shared" si="3"/>
        <v>7.9267550796933932</v>
      </c>
      <c r="G76" s="2">
        <v>31.38995490000525</v>
      </c>
      <c r="H76" s="5">
        <v>30270</v>
      </c>
      <c r="I76" s="16">
        <v>0.73</v>
      </c>
      <c r="J76" s="8">
        <v>565.99</v>
      </c>
      <c r="K76" s="5">
        <v>30492</v>
      </c>
      <c r="O76" s="14"/>
      <c r="P76" s="15"/>
      <c r="Q76" s="15"/>
      <c r="R76" s="14"/>
    </row>
    <row r="77" spans="1:18" x14ac:dyDescent="0.25">
      <c r="A77" t="s">
        <v>77</v>
      </c>
      <c r="B77" s="18">
        <v>33026</v>
      </c>
      <c r="C77" s="2">
        <f t="shared" si="2"/>
        <v>9.61969357475928</v>
      </c>
      <c r="D77" s="20">
        <v>73.315940999993472</v>
      </c>
      <c r="E77" s="1">
        <v>30338</v>
      </c>
      <c r="F77" s="20">
        <f t="shared" si="3"/>
        <v>1.6118399367130332</v>
      </c>
      <c r="G77" s="2">
        <v>31.433575599992761</v>
      </c>
      <c r="H77" s="5">
        <v>29849</v>
      </c>
      <c r="I77" s="16">
        <v>0.99</v>
      </c>
      <c r="J77" s="8">
        <v>697.39</v>
      </c>
      <c r="K77" s="5">
        <v>30149.7</v>
      </c>
      <c r="O77" s="14"/>
      <c r="P77" s="15"/>
      <c r="Q77" s="15"/>
      <c r="R77" s="14"/>
    </row>
    <row r="78" spans="1:18" x14ac:dyDescent="0.25">
      <c r="A78" t="s">
        <v>78</v>
      </c>
      <c r="B78" s="18">
        <v>58877</v>
      </c>
      <c r="C78" s="2">
        <f t="shared" si="2"/>
        <v>8.7266674592795148</v>
      </c>
      <c r="D78" s="20">
        <v>37.765877899990301</v>
      </c>
      <c r="E78" s="1">
        <v>57350</v>
      </c>
      <c r="F78" s="20">
        <f t="shared" si="3"/>
        <v>6.2964254577157801</v>
      </c>
      <c r="G78" s="2">
        <v>18.173676999998861</v>
      </c>
      <c r="H78" s="5">
        <v>53739</v>
      </c>
      <c r="I78" s="16">
        <v>0.72</v>
      </c>
      <c r="J78" s="8">
        <v>525.52</v>
      </c>
      <c r="K78" s="5">
        <v>54131.3</v>
      </c>
      <c r="O78" s="14"/>
      <c r="P78" s="15"/>
      <c r="Q78" s="15"/>
      <c r="R78" s="14"/>
    </row>
    <row r="79" spans="1:18" x14ac:dyDescent="0.25">
      <c r="A79" t="s">
        <v>79</v>
      </c>
      <c r="B79" s="18">
        <v>41552</v>
      </c>
      <c r="C79" s="2">
        <f t="shared" si="2"/>
        <v>6.2788794763188296</v>
      </c>
      <c r="D79" s="20">
        <v>29.447219599998789</v>
      </c>
      <c r="E79" s="1">
        <v>40933</v>
      </c>
      <c r="F79" s="20">
        <f t="shared" si="3"/>
        <v>4.861603107517162</v>
      </c>
      <c r="G79" s="2">
        <v>23.33844849999878</v>
      </c>
      <c r="H79" s="5">
        <v>38943</v>
      </c>
      <c r="I79" s="16">
        <v>0.63</v>
      </c>
      <c r="J79" s="8">
        <v>606.27</v>
      </c>
      <c r="K79" s="5">
        <v>39190.5</v>
      </c>
      <c r="O79" s="14"/>
      <c r="P79" s="15"/>
      <c r="Q79" s="15"/>
      <c r="R79" s="14"/>
    </row>
    <row r="80" spans="1:18" x14ac:dyDescent="0.25">
      <c r="A80" t="s">
        <v>80</v>
      </c>
      <c r="B80" s="18">
        <v>76696</v>
      </c>
      <c r="C80" s="2">
        <f t="shared" si="2"/>
        <v>5.0980494419526439</v>
      </c>
      <c r="D80" s="20">
        <v>28.089250499993799</v>
      </c>
      <c r="E80" s="1">
        <v>76964</v>
      </c>
      <c r="F80" s="20">
        <f t="shared" si="3"/>
        <v>5.4285120315991895</v>
      </c>
      <c r="G80" s="2">
        <v>17.100204000002119</v>
      </c>
      <c r="H80" s="5">
        <v>72786</v>
      </c>
      <c r="I80" s="16">
        <v>0.31</v>
      </c>
      <c r="J80" s="8">
        <v>469.76</v>
      </c>
      <c r="K80" s="5">
        <v>73011.3</v>
      </c>
      <c r="O80" s="14"/>
      <c r="P80" s="15"/>
      <c r="Q80" s="15"/>
      <c r="R80" s="14"/>
    </row>
    <row r="81" spans="1:18" x14ac:dyDescent="0.25">
      <c r="A81" t="s">
        <v>81</v>
      </c>
      <c r="B81" s="18">
        <v>52784</v>
      </c>
      <c r="C81" s="2">
        <f t="shared" si="2"/>
        <v>4.7817520460745682</v>
      </c>
      <c r="D81" s="20">
        <v>18.860412399997589</v>
      </c>
      <c r="E81" s="1">
        <v>53958</v>
      </c>
      <c r="F81" s="20">
        <f t="shared" si="3"/>
        <v>6.8534786315282261</v>
      </c>
      <c r="G81" s="2">
        <v>20.814416900000651</v>
      </c>
      <c r="H81" s="5">
        <v>50260</v>
      </c>
      <c r="I81" s="16">
        <v>1.1000000000000001</v>
      </c>
      <c r="J81" s="8">
        <v>525.85</v>
      </c>
      <c r="K81" s="5">
        <v>50821.8</v>
      </c>
      <c r="O81" s="14"/>
      <c r="P81" s="15"/>
      <c r="Q81" s="15"/>
      <c r="R81" s="14"/>
    </row>
    <row r="82" spans="1:18" x14ac:dyDescent="0.25">
      <c r="A82" t="s">
        <v>82</v>
      </c>
      <c r="B82" s="18">
        <v>42854</v>
      </c>
      <c r="C82" s="2">
        <f t="shared" si="2"/>
        <v>13.833014421057543</v>
      </c>
      <c r="D82" s="20">
        <v>32.710661599994637</v>
      </c>
      <c r="E82" s="1">
        <v>39120</v>
      </c>
      <c r="F82" s="20">
        <f t="shared" si="3"/>
        <v>5.6083844580777091</v>
      </c>
      <c r="G82" s="2">
        <v>43.421124600004987</v>
      </c>
      <c r="H82" s="5">
        <v>36926</v>
      </c>
      <c r="I82" s="16">
        <v>0.59</v>
      </c>
      <c r="J82" s="8">
        <v>652.27</v>
      </c>
      <c r="K82" s="5">
        <v>37145.9</v>
      </c>
      <c r="O82" s="14"/>
      <c r="P82" s="15"/>
      <c r="Q82" s="15"/>
      <c r="R82" s="14"/>
    </row>
    <row r="83" spans="1:18" x14ac:dyDescent="0.25">
      <c r="A83" t="s">
        <v>83</v>
      </c>
      <c r="B83" s="18">
        <v>24207</v>
      </c>
      <c r="C83" s="2">
        <f t="shared" si="2"/>
        <v>14.285124137646136</v>
      </c>
      <c r="D83" s="20">
        <v>3.1208254999946798</v>
      </c>
      <c r="E83" s="1">
        <v>20915</v>
      </c>
      <c r="F83" s="20">
        <f t="shared" si="3"/>
        <v>0.79368874013865642</v>
      </c>
      <c r="G83" s="2">
        <v>4.0738679000060074</v>
      </c>
      <c r="H83" s="6">
        <v>20749</v>
      </c>
      <c r="I83" s="15">
        <v>0.18</v>
      </c>
      <c r="J83" s="7">
        <v>94.88</v>
      </c>
      <c r="K83" s="6">
        <v>20786.900000000001</v>
      </c>
      <c r="O83" s="14"/>
      <c r="P83" s="15"/>
      <c r="Q83" s="15"/>
      <c r="R83" s="14"/>
    </row>
    <row r="84" spans="1:18" x14ac:dyDescent="0.25">
      <c r="A84" t="s">
        <v>84</v>
      </c>
      <c r="B84" s="18">
        <v>23316</v>
      </c>
      <c r="C84" s="2">
        <f t="shared" si="2"/>
        <v>8.4748670440898959</v>
      </c>
      <c r="D84" s="20">
        <v>3.7128528000030201</v>
      </c>
      <c r="E84" s="1">
        <v>23106</v>
      </c>
      <c r="F84" s="20">
        <f t="shared" si="3"/>
        <v>7.6430364407513203</v>
      </c>
      <c r="G84" s="2">
        <v>2.219803300002241</v>
      </c>
      <c r="H84" s="6">
        <v>21340</v>
      </c>
      <c r="I84" s="15">
        <v>0.47</v>
      </c>
      <c r="J84" s="7">
        <v>57.97</v>
      </c>
      <c r="K84" s="6">
        <v>21440.6</v>
      </c>
      <c r="O84" s="14"/>
      <c r="P84" s="15"/>
      <c r="Q84" s="15"/>
      <c r="R84" s="14"/>
    </row>
    <row r="85" spans="1:18" x14ac:dyDescent="0.25">
      <c r="A85" t="s">
        <v>85</v>
      </c>
      <c r="B85" s="18">
        <v>22491</v>
      </c>
      <c r="C85" s="2">
        <f t="shared" si="2"/>
        <v>7.029478458049887</v>
      </c>
      <c r="D85" s="20">
        <v>6.9570974000089336</v>
      </c>
      <c r="E85" s="1">
        <v>23078</v>
      </c>
      <c r="F85" s="20">
        <f t="shared" si="3"/>
        <v>9.3942282693474315</v>
      </c>
      <c r="G85" s="2">
        <v>2.65403370000422</v>
      </c>
      <c r="H85" s="6">
        <v>20910</v>
      </c>
      <c r="I85" s="15">
        <v>0</v>
      </c>
      <c r="J85" s="7">
        <v>92.46</v>
      </c>
      <c r="K85" s="6">
        <v>20910</v>
      </c>
      <c r="O85" s="14"/>
      <c r="P85" s="15"/>
      <c r="Q85" s="15"/>
      <c r="R85" s="14"/>
    </row>
    <row r="86" spans="1:18" x14ac:dyDescent="0.25">
      <c r="A86" t="s">
        <v>86</v>
      </c>
      <c r="B86" s="18">
        <v>25232</v>
      </c>
      <c r="C86" s="2">
        <f t="shared" si="2"/>
        <v>4.7241597970830691</v>
      </c>
      <c r="D86" s="20">
        <v>3.2206369000050472</v>
      </c>
      <c r="E86" s="1">
        <v>25098</v>
      </c>
      <c r="F86" s="20">
        <f t="shared" si="3"/>
        <v>4.2154753366802131</v>
      </c>
      <c r="G86" s="2">
        <v>2.3561132000031648</v>
      </c>
      <c r="H86" s="6">
        <v>24040</v>
      </c>
      <c r="I86" s="15">
        <v>0</v>
      </c>
      <c r="J86" s="7">
        <v>58.26</v>
      </c>
      <c r="K86" s="6">
        <v>24040</v>
      </c>
      <c r="O86" s="14"/>
      <c r="P86" s="15"/>
      <c r="Q86" s="15"/>
      <c r="R86" s="14"/>
    </row>
    <row r="87" spans="1:18" x14ac:dyDescent="0.25">
      <c r="A87" t="s">
        <v>87</v>
      </c>
      <c r="B87" s="18">
        <v>24052</v>
      </c>
      <c r="C87" s="2">
        <f t="shared" si="2"/>
        <v>5.093131548311991</v>
      </c>
      <c r="D87" s="20">
        <v>3.1667347000038721</v>
      </c>
      <c r="E87" s="1">
        <v>24612</v>
      </c>
      <c r="F87" s="20">
        <f t="shared" si="3"/>
        <v>7.2525597269624571</v>
      </c>
      <c r="G87" s="2">
        <v>2.8218086999986549</v>
      </c>
      <c r="H87" s="6">
        <v>22827</v>
      </c>
      <c r="I87" s="15">
        <v>0</v>
      </c>
      <c r="J87" s="7">
        <v>71.760000000000005</v>
      </c>
      <c r="K87" s="6">
        <v>22827</v>
      </c>
      <c r="O87" s="14"/>
      <c r="P87" s="15"/>
      <c r="Q87" s="15"/>
      <c r="R87" s="14"/>
    </row>
    <row r="88" spans="1:18" x14ac:dyDescent="0.25">
      <c r="A88" t="s">
        <v>88</v>
      </c>
      <c r="B88" s="18">
        <v>24595</v>
      </c>
      <c r="C88" s="2">
        <f t="shared" si="2"/>
        <v>13.486480992071559</v>
      </c>
      <c r="D88" s="20">
        <v>5.9053581000043778</v>
      </c>
      <c r="E88" s="1">
        <v>22570</v>
      </c>
      <c r="F88" s="20">
        <f t="shared" si="3"/>
        <v>5.724412937527692</v>
      </c>
      <c r="G88" s="2">
        <v>7.1856353000039226</v>
      </c>
      <c r="H88" s="6">
        <v>21278</v>
      </c>
      <c r="I88" s="15">
        <v>0.31</v>
      </c>
      <c r="J88" s="7">
        <v>91.31</v>
      </c>
      <c r="K88" s="6">
        <v>21344.9</v>
      </c>
      <c r="O88" s="12"/>
      <c r="P88" s="12"/>
      <c r="Q88" s="12"/>
    </row>
    <row r="89" spans="1:18" x14ac:dyDescent="0.25">
      <c r="A89" t="s">
        <v>89</v>
      </c>
      <c r="B89" s="18">
        <v>24207</v>
      </c>
      <c r="C89" s="2">
        <f t="shared" si="2"/>
        <v>14.285124137646136</v>
      </c>
      <c r="D89" s="20">
        <v>3.2216845000075409</v>
      </c>
      <c r="E89" s="1">
        <v>20915</v>
      </c>
      <c r="F89" s="20">
        <f t="shared" si="3"/>
        <v>0.79368874013865642</v>
      </c>
      <c r="G89" s="2">
        <v>4.0685573000082513</v>
      </c>
      <c r="H89" s="6">
        <v>20749</v>
      </c>
      <c r="I89" s="15">
        <v>0.37</v>
      </c>
      <c r="J89" s="7">
        <v>94.55</v>
      </c>
      <c r="K89" s="6">
        <v>20826.099999999999</v>
      </c>
      <c r="O89" s="12"/>
      <c r="P89" s="12"/>
      <c r="Q89" s="12"/>
    </row>
    <row r="90" spans="1:18" x14ac:dyDescent="0.25">
      <c r="A90" t="s">
        <v>90</v>
      </c>
      <c r="B90" s="18">
        <v>41225</v>
      </c>
      <c r="C90" s="2">
        <f t="shared" si="2"/>
        <v>7.9369314736203762</v>
      </c>
      <c r="D90" s="20">
        <v>2.1505147999996548</v>
      </c>
      <c r="E90" s="1">
        <v>40997</v>
      </c>
      <c r="F90" s="20">
        <f t="shared" si="3"/>
        <v>7.4249335317218339</v>
      </c>
      <c r="G90" s="2">
        <v>1.5636289999965809</v>
      </c>
      <c r="H90" s="6">
        <v>37953</v>
      </c>
      <c r="I90" s="15">
        <v>0.34</v>
      </c>
      <c r="J90" s="7">
        <v>86.17</v>
      </c>
      <c r="K90" s="6">
        <v>38083</v>
      </c>
      <c r="O90" s="12"/>
      <c r="P90" s="12"/>
      <c r="Q90" s="12"/>
    </row>
    <row r="91" spans="1:18" x14ac:dyDescent="0.25">
      <c r="A91" t="s">
        <v>91</v>
      </c>
      <c r="B91" s="18">
        <v>29802</v>
      </c>
      <c r="C91" s="2">
        <f t="shared" si="2"/>
        <v>5.6103617206898866</v>
      </c>
      <c r="D91" s="20">
        <v>7.3311507000034908</v>
      </c>
      <c r="E91" s="1">
        <v>29745</v>
      </c>
      <c r="F91" s="20">
        <f t="shared" si="3"/>
        <v>5.4294839468818283</v>
      </c>
      <c r="G91" s="2">
        <v>3.462868099988555</v>
      </c>
      <c r="H91" s="6">
        <v>28130</v>
      </c>
      <c r="I91" s="15">
        <v>0.61</v>
      </c>
      <c r="J91" s="7">
        <v>86.83</v>
      </c>
      <c r="K91" s="6">
        <v>28304.5</v>
      </c>
      <c r="O91" s="12"/>
      <c r="P91" s="12"/>
      <c r="Q91" s="12"/>
    </row>
    <row r="92" spans="1:18" x14ac:dyDescent="0.25">
      <c r="A92" t="s">
        <v>92</v>
      </c>
      <c r="B92" s="18">
        <v>52804</v>
      </c>
      <c r="C92" s="2">
        <f t="shared" si="2"/>
        <v>5.1492311188546322</v>
      </c>
      <c r="D92" s="20">
        <v>2.633618300009402</v>
      </c>
      <c r="E92" s="1">
        <v>51181</v>
      </c>
      <c r="F92" s="20">
        <f t="shared" si="3"/>
        <v>2.1414196674547195</v>
      </c>
      <c r="G92" s="2">
        <v>1.338442399995984</v>
      </c>
      <c r="H92" s="6">
        <v>50085</v>
      </c>
      <c r="I92" s="15">
        <v>0.03</v>
      </c>
      <c r="J92" s="7">
        <v>69.09</v>
      </c>
      <c r="K92" s="6">
        <v>50099.9</v>
      </c>
      <c r="O92" s="12"/>
      <c r="P92" s="12"/>
      <c r="Q92" s="12"/>
    </row>
    <row r="93" spans="1:18" x14ac:dyDescent="0.25">
      <c r="A93" t="s">
        <v>93</v>
      </c>
      <c r="B93" s="18">
        <v>39134</v>
      </c>
      <c r="C93" s="2">
        <f t="shared" si="2"/>
        <v>14.156487964429907</v>
      </c>
      <c r="D93" s="20">
        <v>4.1253225999971619</v>
      </c>
      <c r="E93" s="1">
        <v>38051</v>
      </c>
      <c r="F93" s="20">
        <f t="shared" si="3"/>
        <v>11.71322698483614</v>
      </c>
      <c r="G93" s="2">
        <v>3.1572750000050291</v>
      </c>
      <c r="H93" s="6">
        <v>33594</v>
      </c>
      <c r="I93" s="15">
        <v>2.2200000000000002</v>
      </c>
      <c r="J93" s="7">
        <v>73.73</v>
      </c>
      <c r="K93" s="6">
        <v>34365.1</v>
      </c>
      <c r="O93" s="12"/>
      <c r="P93" s="12"/>
      <c r="Q93" s="12"/>
    </row>
    <row r="94" spans="1:18" x14ac:dyDescent="0.25">
      <c r="A94" t="s">
        <v>94</v>
      </c>
      <c r="B94" s="18">
        <v>30569</v>
      </c>
      <c r="C94" s="2">
        <f t="shared" si="2"/>
        <v>16.71955248781445</v>
      </c>
      <c r="D94" s="20">
        <v>3.8464915999938971</v>
      </c>
      <c r="E94" s="1">
        <v>29439</v>
      </c>
      <c r="F94" s="20">
        <f t="shared" si="3"/>
        <v>13.522877815143177</v>
      </c>
      <c r="G94" s="2">
        <v>5.9441699000017252</v>
      </c>
      <c r="H94" s="6">
        <v>25458</v>
      </c>
      <c r="I94" s="15">
        <v>0.5</v>
      </c>
      <c r="J94" s="7">
        <v>94.83</v>
      </c>
      <c r="K94" s="6">
        <v>25587.599999999999</v>
      </c>
      <c r="O94" s="12"/>
      <c r="P94" s="12"/>
      <c r="Q94" s="12"/>
    </row>
    <row r="95" spans="1:18" x14ac:dyDescent="0.25">
      <c r="A95" t="s">
        <v>95</v>
      </c>
      <c r="B95" s="18">
        <v>24127</v>
      </c>
      <c r="C95" s="2">
        <f t="shared" si="2"/>
        <v>11.742031748663322</v>
      </c>
      <c r="D95" s="20">
        <v>6.9550792999943951</v>
      </c>
      <c r="E95" s="1">
        <v>21752</v>
      </c>
      <c r="F95" s="20">
        <f t="shared" si="3"/>
        <v>2.1055535123207063</v>
      </c>
      <c r="G95" s="2">
        <v>2.251265500002773</v>
      </c>
      <c r="H95" s="6">
        <v>21294</v>
      </c>
      <c r="I95" s="15">
        <v>0.02</v>
      </c>
      <c r="J95" s="7">
        <v>93.39</v>
      </c>
      <c r="K95" s="6">
        <v>21298.5</v>
      </c>
      <c r="O95" s="12"/>
      <c r="P95" s="12"/>
      <c r="Q95" s="12"/>
    </row>
    <row r="96" spans="1:18" x14ac:dyDescent="0.25">
      <c r="A96" t="s">
        <v>96</v>
      </c>
      <c r="B96" s="18">
        <v>25568</v>
      </c>
      <c r="C96" s="2">
        <f t="shared" si="2"/>
        <v>6.879693366708385</v>
      </c>
      <c r="D96" s="20">
        <v>4.2252922000043327</v>
      </c>
      <c r="E96" s="1">
        <v>25867</v>
      </c>
      <c r="F96" s="20">
        <f t="shared" si="3"/>
        <v>7.9560830401670088</v>
      </c>
      <c r="G96" s="2">
        <v>1.5382661000039659</v>
      </c>
      <c r="H96" s="6">
        <v>23809</v>
      </c>
      <c r="I96" s="15">
        <v>0.1</v>
      </c>
      <c r="J96" s="7">
        <v>65.25</v>
      </c>
      <c r="K96" s="6">
        <v>23833.3</v>
      </c>
      <c r="O96" s="12"/>
      <c r="P96" s="12"/>
      <c r="Q96" s="12"/>
    </row>
    <row r="97" spans="1:17" x14ac:dyDescent="0.25">
      <c r="A97" t="s">
        <v>97</v>
      </c>
      <c r="B97" s="18">
        <v>25149</v>
      </c>
      <c r="C97" s="2">
        <f t="shared" si="2"/>
        <v>12.744045488886238</v>
      </c>
      <c r="D97" s="20">
        <v>5.6530550000024959</v>
      </c>
      <c r="E97" s="1">
        <v>26173</v>
      </c>
      <c r="F97" s="20">
        <f t="shared" si="3"/>
        <v>16.157872616818857</v>
      </c>
      <c r="G97" s="2">
        <v>4.5357086000003619</v>
      </c>
      <c r="H97" s="6">
        <v>21944</v>
      </c>
      <c r="I97" s="15">
        <v>1.44</v>
      </c>
      <c r="J97" s="7">
        <v>87.5</v>
      </c>
      <c r="K97" s="6">
        <v>22268.9</v>
      </c>
      <c r="O97" s="12"/>
      <c r="P97" s="12"/>
      <c r="Q97" s="12"/>
    </row>
    <row r="98" spans="1:17" x14ac:dyDescent="0.25">
      <c r="A98" t="s">
        <v>98</v>
      </c>
      <c r="B98" s="18">
        <v>29731</v>
      </c>
      <c r="C98" s="2">
        <f t="shared" si="2"/>
        <v>5.0553294541051423</v>
      </c>
      <c r="D98" s="20">
        <v>2.7630574000068009</v>
      </c>
      <c r="E98" s="1">
        <v>30194</v>
      </c>
      <c r="F98" s="20">
        <f t="shared" si="3"/>
        <v>6.5112273961714244</v>
      </c>
      <c r="G98" s="2">
        <v>1.8090131999924779</v>
      </c>
      <c r="H98" s="6">
        <v>28228</v>
      </c>
      <c r="I98" s="15">
        <v>0.02</v>
      </c>
      <c r="J98" s="7">
        <v>56.3</v>
      </c>
      <c r="K98" s="6">
        <v>28234.9</v>
      </c>
      <c r="O98" s="12"/>
      <c r="P98" s="12"/>
      <c r="Q98" s="12"/>
    </row>
    <row r="99" spans="1:17" x14ac:dyDescent="0.25">
      <c r="A99" t="s">
        <v>99</v>
      </c>
      <c r="B99" s="18">
        <v>28064</v>
      </c>
      <c r="C99" s="2">
        <f t="shared" si="2"/>
        <v>10.554446978335234</v>
      </c>
      <c r="D99" s="20">
        <v>3.3589332999981711</v>
      </c>
      <c r="E99" s="1">
        <v>29548</v>
      </c>
      <c r="F99" s="20">
        <f t="shared" si="3"/>
        <v>15.046703668607012</v>
      </c>
      <c r="G99" s="2">
        <v>2.032011400006013</v>
      </c>
      <c r="H99" s="6">
        <v>25102</v>
      </c>
      <c r="I99" s="15">
        <v>0.59</v>
      </c>
      <c r="J99" s="7">
        <v>72.72</v>
      </c>
      <c r="K99" s="6">
        <v>25250.799999999999</v>
      </c>
      <c r="O99" s="12"/>
      <c r="P99" s="12"/>
      <c r="Q99" s="12"/>
    </row>
    <row r="100" spans="1:17" x14ac:dyDescent="0.25">
      <c r="A100" t="s">
        <v>100</v>
      </c>
      <c r="B100" s="18">
        <v>23712</v>
      </c>
      <c r="C100" s="2">
        <f t="shared" si="2"/>
        <v>8.2995951417004061</v>
      </c>
      <c r="D100" s="20">
        <v>4.6255812999879709</v>
      </c>
      <c r="E100" s="1">
        <v>22966</v>
      </c>
      <c r="F100" s="20">
        <f t="shared" si="3"/>
        <v>5.3209091700775053</v>
      </c>
      <c r="G100" s="2">
        <v>5.7422439000074519</v>
      </c>
      <c r="H100" s="6">
        <v>21744</v>
      </c>
      <c r="I100" s="15">
        <v>0.01</v>
      </c>
      <c r="J100" s="7">
        <v>94.9</v>
      </c>
      <c r="K100" s="6">
        <v>21747</v>
      </c>
      <c r="O100" s="12"/>
      <c r="P100" s="12"/>
      <c r="Q100" s="12"/>
    </row>
    <row r="101" spans="1:17" x14ac:dyDescent="0.25">
      <c r="A101" t="s">
        <v>101</v>
      </c>
      <c r="B101" s="18">
        <v>24127</v>
      </c>
      <c r="C101" s="2">
        <f t="shared" si="2"/>
        <v>11.742031748663322</v>
      </c>
      <c r="D101" s="20">
        <v>6.9334487000014633</v>
      </c>
      <c r="E101" s="1">
        <v>21752</v>
      </c>
      <c r="F101" s="20">
        <f t="shared" si="3"/>
        <v>2.1055535123207063</v>
      </c>
      <c r="G101" s="2">
        <v>2.2541227000037911</v>
      </c>
      <c r="H101" s="6">
        <v>21294</v>
      </c>
      <c r="I101" s="15">
        <v>0.2</v>
      </c>
      <c r="J101" s="7">
        <v>101.54</v>
      </c>
      <c r="K101" s="6">
        <v>21336.6</v>
      </c>
      <c r="O101" s="12"/>
      <c r="P101" s="12"/>
      <c r="Q101" s="12"/>
    </row>
    <row r="102" spans="1:17" x14ac:dyDescent="0.25">
      <c r="A102" t="s">
        <v>102</v>
      </c>
      <c r="B102" s="18">
        <v>39266</v>
      </c>
      <c r="C102" s="2">
        <f t="shared" si="2"/>
        <v>2.9440228187235777</v>
      </c>
      <c r="D102" s="20">
        <v>3.8618163000064669</v>
      </c>
      <c r="E102" s="1">
        <v>39522</v>
      </c>
      <c r="F102" s="20">
        <f t="shared" si="3"/>
        <v>3.5726936895906078</v>
      </c>
      <c r="G102" s="2">
        <v>1.5597697000048361</v>
      </c>
      <c r="H102" s="6">
        <v>38110</v>
      </c>
      <c r="I102" s="15">
        <v>0.47</v>
      </c>
      <c r="J102" s="7">
        <v>72.38</v>
      </c>
      <c r="K102" s="6">
        <v>38290.300000000003</v>
      </c>
      <c r="O102" s="12"/>
      <c r="P102" s="12"/>
      <c r="Q102" s="12"/>
    </row>
    <row r="103" spans="1:17" x14ac:dyDescent="0.25">
      <c r="A103" t="s">
        <v>103</v>
      </c>
      <c r="B103" s="18">
        <v>31355</v>
      </c>
      <c r="C103" s="2">
        <f t="shared" si="2"/>
        <v>11.548397384787116</v>
      </c>
      <c r="D103" s="20">
        <v>5.4666741999972146</v>
      </c>
      <c r="E103" s="1">
        <v>28963</v>
      </c>
      <c r="F103" s="20">
        <f t="shared" si="3"/>
        <v>4.2433449573593895</v>
      </c>
      <c r="G103" s="2">
        <v>2.709097700004349</v>
      </c>
      <c r="H103" s="6">
        <v>27734</v>
      </c>
      <c r="I103" s="15">
        <v>0.54</v>
      </c>
      <c r="J103" s="7">
        <v>89.45</v>
      </c>
      <c r="K103" s="6">
        <v>27886.3</v>
      </c>
      <c r="O103" s="12"/>
      <c r="P103" s="12"/>
      <c r="Q103" s="12"/>
    </row>
    <row r="104" spans="1:17" x14ac:dyDescent="0.25">
      <c r="A104" t="s">
        <v>104</v>
      </c>
      <c r="B104" s="18">
        <v>52538</v>
      </c>
      <c r="C104" s="2">
        <f t="shared" si="2"/>
        <v>6.54383493852069</v>
      </c>
      <c r="D104" s="20">
        <v>2.5093205000011949</v>
      </c>
      <c r="E104" s="1">
        <v>52554</v>
      </c>
      <c r="F104" s="20">
        <f t="shared" si="3"/>
        <v>6.5722875518514288</v>
      </c>
      <c r="G104" s="2">
        <v>2.8819449000002351</v>
      </c>
      <c r="H104" s="6">
        <v>49100</v>
      </c>
      <c r="I104" s="15">
        <v>0.25</v>
      </c>
      <c r="J104" s="7">
        <v>67.099999999999994</v>
      </c>
      <c r="K104" s="6">
        <v>49222.8</v>
      </c>
      <c r="O104" s="14"/>
      <c r="P104" s="14"/>
      <c r="Q104" s="14"/>
    </row>
    <row r="105" spans="1:17" x14ac:dyDescent="0.25">
      <c r="A105" t="s">
        <v>105</v>
      </c>
      <c r="B105" s="18">
        <v>40661</v>
      </c>
      <c r="C105" s="2">
        <f t="shared" si="2"/>
        <v>15.776788568898944</v>
      </c>
      <c r="D105" s="20">
        <v>3.8461248999956301</v>
      </c>
      <c r="E105" s="1">
        <v>37864</v>
      </c>
      <c r="F105" s="20">
        <f t="shared" si="3"/>
        <v>9.555250369744348</v>
      </c>
      <c r="G105" s="2">
        <v>3.5060909999883729</v>
      </c>
      <c r="H105" s="6">
        <v>34246</v>
      </c>
      <c r="I105" s="15">
        <v>0.48</v>
      </c>
      <c r="J105" s="7">
        <v>71.56</v>
      </c>
      <c r="K105" s="6">
        <v>34414.9</v>
      </c>
      <c r="O105" s="14"/>
      <c r="P105" s="14"/>
      <c r="Q105" s="14"/>
    </row>
    <row r="106" spans="1:17" x14ac:dyDescent="0.25">
      <c r="A106" t="s">
        <v>106</v>
      </c>
      <c r="B106" s="18">
        <v>30079</v>
      </c>
      <c r="C106" s="2">
        <f t="shared" si="2"/>
        <v>14.81099770604076</v>
      </c>
      <c r="D106" s="20">
        <v>5.8850440999958664</v>
      </c>
      <c r="E106" s="1">
        <v>27990</v>
      </c>
      <c r="F106" s="20">
        <f t="shared" si="3"/>
        <v>8.4530189353340468</v>
      </c>
      <c r="G106" s="2">
        <v>3.6160383999958872</v>
      </c>
      <c r="H106" s="6">
        <v>25624</v>
      </c>
      <c r="I106" s="15">
        <v>0.42</v>
      </c>
      <c r="J106" s="7">
        <v>86.38</v>
      </c>
      <c r="K106" s="6">
        <v>25733.4</v>
      </c>
      <c r="O106" s="14"/>
      <c r="P106" s="14"/>
      <c r="Q106" s="14"/>
    </row>
    <row r="107" spans="1:17" x14ac:dyDescent="0.25">
      <c r="A107" t="s">
        <v>107</v>
      </c>
      <c r="B107" s="18">
        <v>25281</v>
      </c>
      <c r="C107" s="2">
        <f t="shared" si="2"/>
        <v>12.709149163403346</v>
      </c>
      <c r="D107" s="20">
        <v>4.7778080999996746</v>
      </c>
      <c r="E107" s="1">
        <v>22532</v>
      </c>
      <c r="F107" s="20">
        <f t="shared" si="3"/>
        <v>2.0592934493165278</v>
      </c>
      <c r="G107" s="2">
        <v>4.7800216999894474</v>
      </c>
      <c r="H107" s="6">
        <v>22068</v>
      </c>
      <c r="I107" s="15">
        <v>0.35</v>
      </c>
      <c r="J107" s="7">
        <v>89.83</v>
      </c>
      <c r="K107" s="6">
        <v>22146.9</v>
      </c>
      <c r="O107" s="14"/>
      <c r="P107" s="14"/>
      <c r="Q107" s="14"/>
    </row>
    <row r="108" spans="1:17" x14ac:dyDescent="0.25">
      <c r="A108" t="s">
        <v>108</v>
      </c>
      <c r="B108" s="18">
        <v>25669</v>
      </c>
      <c r="C108" s="2">
        <f t="shared" si="2"/>
        <v>5.0099341618294444</v>
      </c>
      <c r="D108" s="20">
        <v>4.7795642999990378</v>
      </c>
      <c r="E108" s="1">
        <v>25814</v>
      </c>
      <c r="F108" s="20">
        <f t="shared" si="3"/>
        <v>5.543503525218874</v>
      </c>
      <c r="G108" s="2">
        <v>2.6868967000045809</v>
      </c>
      <c r="H108" s="6">
        <v>24383</v>
      </c>
      <c r="I108" s="15">
        <v>0.09</v>
      </c>
      <c r="J108" s="7">
        <v>66.540000000000006</v>
      </c>
      <c r="K108" s="6">
        <v>24405.4</v>
      </c>
      <c r="O108" s="14"/>
      <c r="P108" s="14"/>
      <c r="Q108" s="14"/>
    </row>
    <row r="109" spans="1:17" x14ac:dyDescent="0.25">
      <c r="A109" t="s">
        <v>109</v>
      </c>
      <c r="B109" s="18">
        <v>24348</v>
      </c>
      <c r="C109" s="2">
        <f t="shared" si="2"/>
        <v>9.1465418104156395</v>
      </c>
      <c r="D109" s="20">
        <v>5.9271136000024853</v>
      </c>
      <c r="E109" s="1">
        <v>24360</v>
      </c>
      <c r="F109" s="20">
        <f t="shared" si="3"/>
        <v>9.1912972085385878</v>
      </c>
      <c r="G109" s="2">
        <v>4.2225387999933446</v>
      </c>
      <c r="H109" s="6">
        <v>22121</v>
      </c>
      <c r="I109" s="15">
        <v>0.02</v>
      </c>
      <c r="J109" s="7">
        <v>76.260000000000005</v>
      </c>
      <c r="K109" s="6">
        <v>22125</v>
      </c>
      <c r="O109" s="14"/>
      <c r="P109" s="14"/>
      <c r="Q109" s="14"/>
    </row>
    <row r="110" spans="1:17" x14ac:dyDescent="0.25">
      <c r="A110" t="s">
        <v>110</v>
      </c>
      <c r="B110" s="18">
        <v>27062</v>
      </c>
      <c r="C110" s="2">
        <f t="shared" si="2"/>
        <v>2.2984258369669646</v>
      </c>
      <c r="D110" s="20">
        <v>2.8591939000034472</v>
      </c>
      <c r="E110" s="1">
        <v>27118</v>
      </c>
      <c r="F110" s="20">
        <f t="shared" si="3"/>
        <v>2.5001843793790104</v>
      </c>
      <c r="G110" s="2">
        <v>2.3449799000081839</v>
      </c>
      <c r="H110" s="6">
        <v>26440</v>
      </c>
      <c r="I110" s="15">
        <v>0.01</v>
      </c>
      <c r="J110" s="7">
        <v>57.5</v>
      </c>
      <c r="K110" s="6">
        <v>26443.3</v>
      </c>
      <c r="O110" s="14"/>
      <c r="P110" s="14"/>
      <c r="Q110" s="14"/>
    </row>
    <row r="111" spans="1:17" x14ac:dyDescent="0.25">
      <c r="A111" t="s">
        <v>111</v>
      </c>
      <c r="B111" s="18">
        <v>26269</v>
      </c>
      <c r="C111" s="2">
        <f t="shared" si="2"/>
        <v>10.118390498305988</v>
      </c>
      <c r="D111" s="20">
        <v>4.0010779000003822</v>
      </c>
      <c r="E111" s="1">
        <v>27263</v>
      </c>
      <c r="F111" s="20">
        <f t="shared" si="3"/>
        <v>13.395444375160473</v>
      </c>
      <c r="G111" s="2">
        <v>3.3501800999947591</v>
      </c>
      <c r="H111" s="6">
        <v>23611</v>
      </c>
      <c r="I111" s="15">
        <v>0.2</v>
      </c>
      <c r="J111" s="7">
        <v>62.91</v>
      </c>
      <c r="K111" s="6">
        <v>23658.1</v>
      </c>
      <c r="O111" s="14"/>
      <c r="P111" s="14"/>
      <c r="Q111" s="14"/>
    </row>
    <row r="112" spans="1:17" x14ac:dyDescent="0.25">
      <c r="A112" t="s">
        <v>112</v>
      </c>
      <c r="B112" s="18">
        <v>23457</v>
      </c>
      <c r="C112" s="2">
        <f t="shared" si="2"/>
        <v>4.2716459905358741</v>
      </c>
      <c r="D112" s="20">
        <v>10.010001800008469</v>
      </c>
      <c r="E112" s="1">
        <v>26252</v>
      </c>
      <c r="F112" s="20">
        <f t="shared" si="3"/>
        <v>14.463659911625781</v>
      </c>
      <c r="G112" s="2">
        <v>3.9228406000038381</v>
      </c>
      <c r="H112" s="6">
        <v>22455</v>
      </c>
      <c r="I112" s="15">
        <v>0.47</v>
      </c>
      <c r="J112" s="7">
        <v>76.540000000000006</v>
      </c>
      <c r="K112" s="6">
        <v>22560.6</v>
      </c>
      <c r="O112" s="14"/>
      <c r="P112" s="14"/>
      <c r="Q112" s="14"/>
    </row>
    <row r="113" spans="1:17" x14ac:dyDescent="0.25">
      <c r="A113" t="s">
        <v>113</v>
      </c>
      <c r="B113" s="18">
        <v>25281</v>
      </c>
      <c r="C113" s="2">
        <f t="shared" si="2"/>
        <v>12.709149163403346</v>
      </c>
      <c r="D113" s="20">
        <v>4.7563698999874759</v>
      </c>
      <c r="E113" s="1">
        <v>22532</v>
      </c>
      <c r="F113" s="20">
        <f t="shared" si="3"/>
        <v>2.0592934493165278</v>
      </c>
      <c r="G113" s="2">
        <v>4.7408644000097411</v>
      </c>
      <c r="H113" s="6">
        <v>22068</v>
      </c>
      <c r="I113" s="15">
        <v>0.28000000000000003</v>
      </c>
      <c r="J113" s="7">
        <v>100.05</v>
      </c>
      <c r="K113" s="6">
        <v>22129.1</v>
      </c>
      <c r="O113" s="14"/>
      <c r="P113" s="14"/>
      <c r="Q113" s="14"/>
    </row>
    <row r="114" spans="1:17" x14ac:dyDescent="0.25">
      <c r="A114" t="s">
        <v>114</v>
      </c>
      <c r="B114" s="18">
        <v>40649</v>
      </c>
      <c r="C114" s="2">
        <f t="shared" si="2"/>
        <v>6.6766710128170441</v>
      </c>
      <c r="D114" s="20">
        <v>2.097611299992423</v>
      </c>
      <c r="E114" s="1">
        <v>39387</v>
      </c>
      <c r="F114" s="20">
        <f t="shared" si="3"/>
        <v>3.6864955442150968</v>
      </c>
      <c r="G114" s="2">
        <v>1.560673799991491</v>
      </c>
      <c r="H114" s="6">
        <v>37935</v>
      </c>
      <c r="I114" s="15">
        <v>0.16</v>
      </c>
      <c r="J114" s="7">
        <v>67.78</v>
      </c>
      <c r="K114" s="6">
        <v>37996</v>
      </c>
      <c r="O114" s="14"/>
      <c r="P114" s="14"/>
      <c r="Q114" s="14"/>
    </row>
    <row r="115" spans="1:17" x14ac:dyDescent="0.25">
      <c r="A115" t="s">
        <v>115</v>
      </c>
      <c r="B115" s="18">
        <v>33541</v>
      </c>
      <c r="C115" s="2">
        <f t="shared" si="2"/>
        <v>12.468322351748606</v>
      </c>
      <c r="D115" s="20">
        <v>3.4476980999897928</v>
      </c>
      <c r="E115" s="1">
        <v>30161</v>
      </c>
      <c r="F115" s="20">
        <f t="shared" si="3"/>
        <v>2.6590630284141774</v>
      </c>
      <c r="G115" s="2">
        <v>4.3456339999975171</v>
      </c>
      <c r="H115" s="6">
        <v>29359</v>
      </c>
      <c r="I115" s="15">
        <v>0.44</v>
      </c>
      <c r="J115" s="7">
        <v>90.94</v>
      </c>
      <c r="K115" s="6">
        <v>29489.200000000001</v>
      </c>
      <c r="O115" s="14"/>
      <c r="P115" s="14"/>
      <c r="Q115" s="14"/>
    </row>
    <row r="116" spans="1:17" x14ac:dyDescent="0.25">
      <c r="A116" t="s">
        <v>116</v>
      </c>
      <c r="B116" s="18">
        <v>58323</v>
      </c>
      <c r="C116" s="2">
        <f t="shared" si="2"/>
        <v>7.0743960358692108</v>
      </c>
      <c r="D116" s="20">
        <v>2.6159668000036622</v>
      </c>
      <c r="E116" s="1">
        <v>58282</v>
      </c>
      <c r="F116" s="20">
        <f t="shared" si="3"/>
        <v>7.0090250849318831</v>
      </c>
      <c r="G116" s="2">
        <v>3.7313450999936322</v>
      </c>
      <c r="H116" s="6">
        <v>54197</v>
      </c>
      <c r="I116" s="15">
        <v>0.16</v>
      </c>
      <c r="J116" s="7">
        <v>66.37</v>
      </c>
      <c r="K116" s="6">
        <v>54285.2</v>
      </c>
      <c r="O116" s="14"/>
      <c r="P116" s="14"/>
      <c r="Q116" s="14"/>
    </row>
    <row r="117" spans="1:17" x14ac:dyDescent="0.25">
      <c r="A117" t="s">
        <v>117</v>
      </c>
      <c r="B117" s="18">
        <v>42240</v>
      </c>
      <c r="C117" s="2">
        <f t="shared" si="2"/>
        <v>9.1879734848484844</v>
      </c>
      <c r="D117" s="20">
        <v>2.9048295999964471</v>
      </c>
      <c r="E117" s="1">
        <v>40203</v>
      </c>
      <c r="F117" s="20">
        <f t="shared" si="3"/>
        <v>4.5867223839016988</v>
      </c>
      <c r="G117" s="2">
        <v>1.836722199994256</v>
      </c>
      <c r="H117" s="6">
        <v>38359</v>
      </c>
      <c r="I117" s="15">
        <v>0.88</v>
      </c>
      <c r="J117" s="7">
        <v>76.58</v>
      </c>
      <c r="K117" s="6">
        <v>38700.800000000003</v>
      </c>
      <c r="O117" s="14"/>
      <c r="P117" s="14"/>
      <c r="Q117" s="14"/>
    </row>
    <row r="118" spans="1:17" x14ac:dyDescent="0.25">
      <c r="A118" t="s">
        <v>118</v>
      </c>
      <c r="B118" s="18">
        <v>28597</v>
      </c>
      <c r="C118" s="2">
        <f t="shared" si="2"/>
        <v>4.6893030737489942</v>
      </c>
      <c r="D118" s="20">
        <v>6.0994767999945907</v>
      </c>
      <c r="E118" s="1">
        <v>28838</v>
      </c>
      <c r="F118" s="20">
        <f t="shared" si="3"/>
        <v>5.485817324363687</v>
      </c>
      <c r="G118" s="2">
        <v>3.6357311000028858</v>
      </c>
      <c r="H118" s="6">
        <v>27256</v>
      </c>
      <c r="I118" s="15">
        <v>0.22</v>
      </c>
      <c r="J118" s="7">
        <v>109.86</v>
      </c>
      <c r="K118" s="6">
        <v>27316.3</v>
      </c>
      <c r="O118" s="14"/>
      <c r="P118" s="14"/>
      <c r="Q118" s="14"/>
    </row>
    <row r="119" spans="1:17" x14ac:dyDescent="0.25">
      <c r="A119" t="s">
        <v>119</v>
      </c>
      <c r="B119" s="18">
        <v>1444</v>
      </c>
      <c r="C119" s="2">
        <f t="shared" si="2"/>
        <v>11.842105263157894</v>
      </c>
      <c r="D119" s="20">
        <v>0.44596139999339363</v>
      </c>
      <c r="E119" s="1">
        <v>1315</v>
      </c>
      <c r="F119" s="20">
        <f t="shared" si="3"/>
        <v>3.1939163498098861</v>
      </c>
      <c r="G119" s="2">
        <v>0.23959599999943751</v>
      </c>
      <c r="H119" s="5">
        <v>1273</v>
      </c>
      <c r="I119" s="12">
        <v>0</v>
      </c>
      <c r="J119" s="5">
        <v>4.6500000000000004</v>
      </c>
      <c r="K119" s="27"/>
      <c r="O119" s="14"/>
      <c r="P119" s="14"/>
      <c r="Q119" s="14"/>
    </row>
    <row r="120" spans="1:17" x14ac:dyDescent="0.25">
      <c r="A120" t="s">
        <v>120</v>
      </c>
      <c r="B120" s="18">
        <v>1347</v>
      </c>
      <c r="C120" s="2">
        <f t="shared" si="2"/>
        <v>0</v>
      </c>
      <c r="D120" s="20">
        <v>0.19341769999300601</v>
      </c>
      <c r="E120" s="1">
        <v>1376</v>
      </c>
      <c r="F120" s="20">
        <f t="shared" si="3"/>
        <v>2.1075581395348837</v>
      </c>
      <c r="G120" s="2">
        <v>0.24362719999044199</v>
      </c>
      <c r="H120" s="5">
        <v>1347</v>
      </c>
      <c r="I120" s="12">
        <v>0</v>
      </c>
      <c r="J120" s="5">
        <v>3.56</v>
      </c>
      <c r="K120" s="27"/>
    </row>
    <row r="121" spans="1:17" x14ac:dyDescent="0.25">
      <c r="A121" t="s">
        <v>121</v>
      </c>
      <c r="B121" s="18">
        <v>1556</v>
      </c>
      <c r="C121" s="2">
        <f t="shared" si="2"/>
        <v>3.2776349614395883</v>
      </c>
      <c r="D121" s="20">
        <v>0.2185827000066638</v>
      </c>
      <c r="E121" s="1">
        <v>1505</v>
      </c>
      <c r="F121" s="20">
        <f t="shared" si="3"/>
        <v>0</v>
      </c>
      <c r="G121" s="2">
        <v>0.2256532000028528</v>
      </c>
      <c r="H121" s="5">
        <v>1505</v>
      </c>
      <c r="I121" s="12">
        <v>0</v>
      </c>
      <c r="J121" s="5">
        <v>3.67</v>
      </c>
      <c r="K121" s="27"/>
    </row>
    <row r="122" spans="1:17" x14ac:dyDescent="0.25">
      <c r="A122" t="s">
        <v>122</v>
      </c>
      <c r="B122" s="18">
        <v>1512</v>
      </c>
      <c r="C122" s="2">
        <f t="shared" si="2"/>
        <v>2.9761904761904758</v>
      </c>
      <c r="D122" s="20">
        <v>0.2850276999961352</v>
      </c>
      <c r="E122" s="1">
        <v>1501</v>
      </c>
      <c r="F122" s="20">
        <f t="shared" si="3"/>
        <v>2.2651565622918057</v>
      </c>
      <c r="G122" s="2">
        <v>0.17554739999468441</v>
      </c>
      <c r="H122" s="5">
        <v>1467</v>
      </c>
      <c r="I122" s="12">
        <v>0</v>
      </c>
      <c r="J122" s="5">
        <v>3.26</v>
      </c>
      <c r="K122" s="27"/>
    </row>
    <row r="123" spans="1:17" x14ac:dyDescent="0.25">
      <c r="A123" t="s">
        <v>123</v>
      </c>
      <c r="B123" s="18">
        <v>1301</v>
      </c>
      <c r="C123" s="2">
        <f t="shared" si="2"/>
        <v>0</v>
      </c>
      <c r="D123" s="20">
        <v>0.31654769998567639</v>
      </c>
      <c r="E123" s="1">
        <v>1310</v>
      </c>
      <c r="F123" s="20">
        <f t="shared" si="3"/>
        <v>0.68702290076335881</v>
      </c>
      <c r="G123" s="2">
        <v>0.20053259999258441</v>
      </c>
      <c r="H123" s="5">
        <v>1301</v>
      </c>
      <c r="I123" s="12">
        <v>0.14000000000000001</v>
      </c>
      <c r="J123" s="5">
        <v>4.3099999999999996</v>
      </c>
      <c r="K123" s="27"/>
    </row>
    <row r="124" spans="1:17" x14ac:dyDescent="0.25">
      <c r="A124" t="s">
        <v>124</v>
      </c>
      <c r="B124" s="18">
        <v>1410</v>
      </c>
      <c r="C124" s="2">
        <f t="shared" si="2"/>
        <v>4.6808510638297873</v>
      </c>
      <c r="D124" s="20">
        <v>0.28505290001339739</v>
      </c>
      <c r="E124" s="1">
        <v>1417</v>
      </c>
      <c r="F124" s="20">
        <f t="shared" si="3"/>
        <v>5.1517290049400142</v>
      </c>
      <c r="G124" s="2">
        <v>0.27949610000359831</v>
      </c>
      <c r="H124" s="5">
        <v>1344</v>
      </c>
      <c r="I124" s="12">
        <v>0</v>
      </c>
      <c r="J124" s="5">
        <v>4.3</v>
      </c>
      <c r="K124" s="27"/>
    </row>
    <row r="125" spans="1:17" x14ac:dyDescent="0.25">
      <c r="A125" t="s">
        <v>125</v>
      </c>
      <c r="B125" s="18">
        <v>1469</v>
      </c>
      <c r="C125" s="2">
        <f t="shared" si="2"/>
        <v>7.6242341729067391</v>
      </c>
      <c r="D125" s="20">
        <v>0.27892119999160059</v>
      </c>
      <c r="E125" s="1">
        <v>1441</v>
      </c>
      <c r="F125" s="20">
        <f t="shared" si="3"/>
        <v>5.829285218598196</v>
      </c>
      <c r="G125" s="2">
        <v>0.21239660000719601</v>
      </c>
      <c r="H125" s="5">
        <v>1357</v>
      </c>
      <c r="I125" s="12">
        <v>0</v>
      </c>
      <c r="J125" s="5">
        <v>4.26</v>
      </c>
      <c r="K125" s="27"/>
    </row>
    <row r="126" spans="1:17" x14ac:dyDescent="0.25">
      <c r="A126" t="s">
        <v>126</v>
      </c>
      <c r="B126" s="18">
        <v>1600</v>
      </c>
      <c r="C126" s="2">
        <f t="shared" si="2"/>
        <v>2.4375</v>
      </c>
      <c r="D126" s="20">
        <v>0.26342449999356182</v>
      </c>
      <c r="E126" s="1">
        <v>1574</v>
      </c>
      <c r="F126" s="20">
        <f t="shared" si="3"/>
        <v>0.8259212198221092</v>
      </c>
      <c r="G126" s="2">
        <v>9.5452299996395595E-2</v>
      </c>
      <c r="H126" s="5">
        <v>1561</v>
      </c>
      <c r="I126" s="12">
        <v>0</v>
      </c>
      <c r="J126" s="5">
        <v>3.01</v>
      </c>
      <c r="K126" s="27"/>
    </row>
    <row r="127" spans="1:17" x14ac:dyDescent="0.25">
      <c r="A127" t="s">
        <v>127</v>
      </c>
      <c r="B127" s="18">
        <v>1603</v>
      </c>
      <c r="C127" s="2">
        <f t="shared" si="2"/>
        <v>3.9301310043668125</v>
      </c>
      <c r="D127" s="20">
        <v>0.18250690000422759</v>
      </c>
      <c r="E127" s="1">
        <v>1540</v>
      </c>
      <c r="F127" s="20">
        <f t="shared" si="3"/>
        <v>0</v>
      </c>
      <c r="G127" s="2">
        <v>0.1366364999994403</v>
      </c>
      <c r="H127" s="5">
        <v>1540</v>
      </c>
      <c r="I127" s="12">
        <v>0</v>
      </c>
      <c r="J127" s="5">
        <v>2.89</v>
      </c>
      <c r="K127" s="27"/>
    </row>
    <row r="128" spans="1:17" x14ac:dyDescent="0.25">
      <c r="A128" t="s">
        <v>128</v>
      </c>
      <c r="B128" s="18">
        <v>1546</v>
      </c>
      <c r="C128" s="2">
        <f t="shared" si="2"/>
        <v>0.90556274256144886</v>
      </c>
      <c r="D128" s="20">
        <v>0.1347585000039544</v>
      </c>
      <c r="E128" s="1">
        <v>1669</v>
      </c>
      <c r="F128" s="20">
        <f t="shared" si="3"/>
        <v>8.2085080886758526</v>
      </c>
      <c r="G128" s="2">
        <v>9.3757099995855242E-2</v>
      </c>
      <c r="H128" s="5">
        <v>1532</v>
      </c>
      <c r="I128" s="12">
        <v>0</v>
      </c>
      <c r="J128" s="5">
        <v>3.03</v>
      </c>
      <c r="K128" s="27"/>
    </row>
    <row r="129" spans="1:11" x14ac:dyDescent="0.25">
      <c r="A129" t="s">
        <v>129</v>
      </c>
      <c r="B129" s="18">
        <v>1501</v>
      </c>
      <c r="C129" s="2">
        <f t="shared" si="2"/>
        <v>4.4636908727514992</v>
      </c>
      <c r="D129" s="20">
        <v>0.25547829999413812</v>
      </c>
      <c r="E129" s="1">
        <v>1479</v>
      </c>
      <c r="F129" s="20">
        <f t="shared" si="3"/>
        <v>3.0425963488843815</v>
      </c>
      <c r="G129" s="2">
        <v>0.21891209999739661</v>
      </c>
      <c r="H129" s="5">
        <v>1434</v>
      </c>
      <c r="I129" s="12">
        <v>0</v>
      </c>
      <c r="J129" s="5">
        <v>4.1100000000000003</v>
      </c>
      <c r="K129" s="27"/>
    </row>
    <row r="130" spans="1:11" x14ac:dyDescent="0.25">
      <c r="A130" t="s">
        <v>130</v>
      </c>
      <c r="B130" s="18">
        <v>1554</v>
      </c>
      <c r="C130" s="2">
        <f t="shared" si="2"/>
        <v>5.4697554697554693</v>
      </c>
      <c r="D130" s="20">
        <v>0.14245990000199529</v>
      </c>
      <c r="E130" s="1">
        <v>1532</v>
      </c>
      <c r="F130" s="20">
        <f t="shared" si="3"/>
        <v>4.1122715404699735</v>
      </c>
      <c r="G130" s="2">
        <v>0.1457192999951076</v>
      </c>
      <c r="H130" s="5">
        <v>1469</v>
      </c>
      <c r="I130" s="12">
        <v>0</v>
      </c>
      <c r="J130" s="5">
        <v>4.3</v>
      </c>
      <c r="K130" s="27"/>
    </row>
    <row r="131" spans="1:11" x14ac:dyDescent="0.25">
      <c r="A131" t="s">
        <v>131</v>
      </c>
      <c r="B131" s="18">
        <v>1458</v>
      </c>
      <c r="C131" s="2">
        <f t="shared" si="2"/>
        <v>8.5048010973936901</v>
      </c>
      <c r="D131" s="20">
        <v>0.27287969998724287</v>
      </c>
      <c r="E131" s="1">
        <v>1420</v>
      </c>
      <c r="F131" s="20">
        <f t="shared" si="3"/>
        <v>6.056338028169014</v>
      </c>
      <c r="G131" s="2">
        <v>0.24046639999141919</v>
      </c>
      <c r="H131" s="5">
        <v>1334</v>
      </c>
      <c r="I131" s="12">
        <v>0</v>
      </c>
      <c r="J131" s="5">
        <v>4.1100000000000003</v>
      </c>
      <c r="K131" s="27"/>
    </row>
    <row r="132" spans="1:11" x14ac:dyDescent="0.25">
      <c r="A132" t="s">
        <v>132</v>
      </c>
      <c r="B132" s="18">
        <v>1327</v>
      </c>
      <c r="C132" s="2">
        <f t="shared" ref="C132:C150" si="4">((B132 -H132)/B132 * 100)</f>
        <v>4.069329314242653</v>
      </c>
      <c r="D132" s="20">
        <v>0.26399320000200532</v>
      </c>
      <c r="E132" s="1">
        <v>1406</v>
      </c>
      <c r="F132" s="20">
        <f t="shared" ref="F132:F150" si="5">((E132 -H132)/ E132 * 100)</f>
        <v>9.4594594594594597</v>
      </c>
      <c r="G132" s="2">
        <v>0.21780640000361021</v>
      </c>
      <c r="H132" s="5">
        <v>1273</v>
      </c>
      <c r="I132" s="12">
        <v>0</v>
      </c>
      <c r="J132" s="5">
        <v>5.2</v>
      </c>
      <c r="K132" s="27"/>
    </row>
    <row r="133" spans="1:11" x14ac:dyDescent="0.25">
      <c r="A133" t="s">
        <v>133</v>
      </c>
      <c r="B133" s="18">
        <v>1444</v>
      </c>
      <c r="C133" s="2">
        <f t="shared" si="4"/>
        <v>11.842105263157894</v>
      </c>
      <c r="D133" s="20">
        <v>0.44805310000083409</v>
      </c>
      <c r="E133" s="1">
        <v>1456</v>
      </c>
      <c r="F133" s="20">
        <f t="shared" si="5"/>
        <v>12.568681318681318</v>
      </c>
      <c r="G133" s="2">
        <v>0.20134830000461079</v>
      </c>
      <c r="H133" s="5">
        <v>1273</v>
      </c>
      <c r="I133" s="12">
        <v>0</v>
      </c>
      <c r="J133" s="5">
        <v>4.51</v>
      </c>
      <c r="K133" s="27"/>
    </row>
    <row r="134" spans="1:11" x14ac:dyDescent="0.25">
      <c r="A134" t="s">
        <v>134</v>
      </c>
      <c r="B134" s="18">
        <v>1412</v>
      </c>
      <c r="C134" s="2">
        <f t="shared" si="4"/>
        <v>7.8611898016997168</v>
      </c>
      <c r="D134" s="20">
        <v>0.49036070000147453</v>
      </c>
      <c r="E134" s="1">
        <v>1342</v>
      </c>
      <c r="F134" s="20">
        <f t="shared" si="5"/>
        <v>3.0551415797317438</v>
      </c>
      <c r="G134" s="2">
        <v>0.25560620000760542</v>
      </c>
      <c r="H134" s="5">
        <v>1301</v>
      </c>
      <c r="I134" s="12">
        <v>0.14000000000000001</v>
      </c>
      <c r="J134" s="5">
        <v>5.2</v>
      </c>
      <c r="K134" s="27"/>
    </row>
    <row r="135" spans="1:11" x14ac:dyDescent="0.25">
      <c r="A135" t="s">
        <v>135</v>
      </c>
      <c r="B135" s="18">
        <v>1444</v>
      </c>
      <c r="C135" s="2">
        <f t="shared" si="4"/>
        <v>11.842105263157894</v>
      </c>
      <c r="D135" s="20">
        <v>0.45537340000737458</v>
      </c>
      <c r="E135" s="1">
        <v>1315</v>
      </c>
      <c r="F135" s="20">
        <f t="shared" si="5"/>
        <v>3.1939163498098861</v>
      </c>
      <c r="G135" s="2">
        <v>0.2428948000015225</v>
      </c>
      <c r="H135" s="6">
        <v>1273</v>
      </c>
      <c r="I135" s="14">
        <v>0</v>
      </c>
      <c r="J135" s="6">
        <v>5.1100000000000003</v>
      </c>
      <c r="K135" s="27"/>
    </row>
    <row r="136" spans="1:11" x14ac:dyDescent="0.25">
      <c r="A136" t="s">
        <v>136</v>
      </c>
      <c r="B136" s="18">
        <v>2423</v>
      </c>
      <c r="C136" s="2">
        <f t="shared" si="4"/>
        <v>6.892282294676022</v>
      </c>
      <c r="D136" s="20">
        <v>0.12358189999940811</v>
      </c>
      <c r="E136" s="1">
        <v>2439</v>
      </c>
      <c r="F136" s="20">
        <f t="shared" si="5"/>
        <v>7.5030750307503071</v>
      </c>
      <c r="G136" s="2">
        <v>0.16524920001393181</v>
      </c>
      <c r="H136" s="6">
        <v>2256</v>
      </c>
      <c r="I136" s="14">
        <v>0</v>
      </c>
      <c r="J136" s="6">
        <v>3.88</v>
      </c>
      <c r="K136" s="27"/>
    </row>
    <row r="137" spans="1:11" x14ac:dyDescent="0.25">
      <c r="A137" t="s">
        <v>137</v>
      </c>
      <c r="B137" s="18">
        <v>2336</v>
      </c>
      <c r="C137" s="2">
        <f t="shared" si="4"/>
        <v>7.8339041095890405</v>
      </c>
      <c r="D137" s="20">
        <v>0.26782470000034658</v>
      </c>
      <c r="E137" s="1">
        <v>2330</v>
      </c>
      <c r="F137" s="20">
        <f t="shared" si="5"/>
        <v>7.5965665236051496</v>
      </c>
      <c r="G137" s="2">
        <v>0.17018770000140651</v>
      </c>
      <c r="H137" s="6">
        <v>2153</v>
      </c>
      <c r="I137" s="14">
        <v>0</v>
      </c>
      <c r="J137" s="6">
        <v>4.43</v>
      </c>
      <c r="K137" s="27"/>
    </row>
    <row r="138" spans="1:11" x14ac:dyDescent="0.25">
      <c r="A138" t="s">
        <v>138</v>
      </c>
      <c r="B138" s="18">
        <v>2274</v>
      </c>
      <c r="C138" s="2">
        <f t="shared" si="4"/>
        <v>8.5312225153913808</v>
      </c>
      <c r="D138" s="20">
        <v>0.12463730000308711</v>
      </c>
      <c r="E138" s="1">
        <v>2338</v>
      </c>
      <c r="F138" s="20">
        <f t="shared" si="5"/>
        <v>11.035072711719419</v>
      </c>
      <c r="G138" s="2">
        <v>8.4426699992036447E-2</v>
      </c>
      <c r="H138" s="6">
        <v>2080</v>
      </c>
      <c r="I138" s="14">
        <v>0</v>
      </c>
      <c r="J138" s="6">
        <v>3.88</v>
      </c>
      <c r="K138" s="27"/>
    </row>
    <row r="139" spans="1:11" x14ac:dyDescent="0.25">
      <c r="A139" t="s">
        <v>139</v>
      </c>
      <c r="B139" s="18">
        <v>1850</v>
      </c>
      <c r="C139" s="2">
        <f t="shared" si="4"/>
        <v>10.702702702702704</v>
      </c>
      <c r="D139" s="20">
        <v>0.14957239999785091</v>
      </c>
      <c r="E139" s="1">
        <v>1821</v>
      </c>
      <c r="F139" s="20">
        <f t="shared" si="5"/>
        <v>9.2806150466776494</v>
      </c>
      <c r="G139" s="2">
        <v>0.16191110000363551</v>
      </c>
      <c r="H139" s="6">
        <v>1652</v>
      </c>
      <c r="I139" s="14">
        <v>0</v>
      </c>
      <c r="J139" s="6">
        <v>4.78</v>
      </c>
      <c r="K139" s="27"/>
    </row>
    <row r="140" spans="1:11" x14ac:dyDescent="0.25">
      <c r="A140" t="s">
        <v>140</v>
      </c>
      <c r="B140" s="18">
        <v>1669</v>
      </c>
      <c r="C140" s="2">
        <f t="shared" si="4"/>
        <v>3.7147992810065906</v>
      </c>
      <c r="D140" s="20">
        <v>0.1513699999923119</v>
      </c>
      <c r="E140" s="1">
        <v>1755</v>
      </c>
      <c r="F140" s="20">
        <f t="shared" si="5"/>
        <v>8.4330484330484339</v>
      </c>
      <c r="G140" s="2">
        <v>0.15876779999234711</v>
      </c>
      <c r="H140" s="6">
        <v>1607</v>
      </c>
      <c r="I140" s="14">
        <v>0.11</v>
      </c>
      <c r="J140" s="6">
        <v>5</v>
      </c>
      <c r="K140" s="27"/>
    </row>
    <row r="141" spans="1:11" x14ac:dyDescent="0.25">
      <c r="A141" t="s">
        <v>141</v>
      </c>
      <c r="B141" s="18">
        <v>1612</v>
      </c>
      <c r="C141" s="2">
        <f t="shared" si="4"/>
        <v>5.3970223325062037</v>
      </c>
      <c r="D141" s="20">
        <v>0.17763510000077079</v>
      </c>
      <c r="E141" s="1">
        <v>1682</v>
      </c>
      <c r="F141" s="20">
        <f t="shared" si="5"/>
        <v>9.3341260404280622</v>
      </c>
      <c r="G141" s="2">
        <v>0.1547005000029458</v>
      </c>
      <c r="H141" s="6">
        <v>1525</v>
      </c>
      <c r="I141" s="14">
        <v>0</v>
      </c>
      <c r="J141" s="6">
        <v>4.33</v>
      </c>
      <c r="K141" s="27"/>
    </row>
    <row r="142" spans="1:11" x14ac:dyDescent="0.25">
      <c r="A142" t="s">
        <v>142</v>
      </c>
      <c r="B142" s="18">
        <v>2593</v>
      </c>
      <c r="C142" s="2">
        <f t="shared" si="4"/>
        <v>8.792903972232935</v>
      </c>
      <c r="D142" s="20">
        <v>0.1090399999957299</v>
      </c>
      <c r="E142" s="1">
        <v>2494</v>
      </c>
      <c r="F142" s="20">
        <f t="shared" si="5"/>
        <v>5.1724137931034484</v>
      </c>
      <c r="G142" s="2">
        <v>9.1677300006267615E-2</v>
      </c>
      <c r="H142" s="6">
        <v>2365</v>
      </c>
      <c r="I142" s="14">
        <v>0</v>
      </c>
      <c r="J142" s="6">
        <v>3.59</v>
      </c>
      <c r="K142" s="27"/>
    </row>
    <row r="143" spans="1:11" x14ac:dyDescent="0.25">
      <c r="A143" t="s">
        <v>143</v>
      </c>
      <c r="B143" s="18">
        <v>2647</v>
      </c>
      <c r="C143" s="2">
        <f t="shared" si="4"/>
        <v>3.0222893842085381</v>
      </c>
      <c r="D143" s="20">
        <v>0.1879914000019198</v>
      </c>
      <c r="E143" s="1">
        <v>2799</v>
      </c>
      <c r="F143" s="20">
        <f t="shared" si="5"/>
        <v>8.2886745266166493</v>
      </c>
      <c r="G143" s="2">
        <v>9.141500000259839E-2</v>
      </c>
      <c r="H143" s="6">
        <v>2567</v>
      </c>
      <c r="I143" s="14">
        <v>0</v>
      </c>
      <c r="J143" s="6">
        <v>3.21</v>
      </c>
      <c r="K143" s="27"/>
    </row>
    <row r="144" spans="1:11" x14ac:dyDescent="0.25">
      <c r="A144" t="s">
        <v>144</v>
      </c>
      <c r="B144" s="18">
        <v>2749</v>
      </c>
      <c r="C144" s="2">
        <f t="shared" si="4"/>
        <v>2.0007275372862861</v>
      </c>
      <c r="D144" s="20">
        <v>0.2015702000062447</v>
      </c>
      <c r="E144" s="1">
        <v>2807</v>
      </c>
      <c r="F144" s="20">
        <f t="shared" si="5"/>
        <v>4.0256501603135018</v>
      </c>
      <c r="G144" s="2">
        <v>0.14520840000477619</v>
      </c>
      <c r="H144" s="6">
        <v>2694</v>
      </c>
      <c r="I144" s="14">
        <v>0.03</v>
      </c>
      <c r="J144" s="6">
        <v>3.72</v>
      </c>
      <c r="K144" s="27"/>
    </row>
    <row r="145" spans="1:11" x14ac:dyDescent="0.25">
      <c r="A145" t="s">
        <v>145</v>
      </c>
      <c r="B145" s="18">
        <v>2030</v>
      </c>
      <c r="C145" s="2">
        <f t="shared" si="4"/>
        <v>10.738916256157635</v>
      </c>
      <c r="D145" s="20">
        <v>0.21172279999882451</v>
      </c>
      <c r="E145" s="1">
        <v>1972</v>
      </c>
      <c r="F145" s="20">
        <f t="shared" si="5"/>
        <v>8.1135902636916839</v>
      </c>
      <c r="G145" s="2">
        <v>0.19445910000649749</v>
      </c>
      <c r="H145" s="6">
        <v>1812</v>
      </c>
      <c r="I145" s="14">
        <v>0</v>
      </c>
      <c r="J145" s="6">
        <v>4.08</v>
      </c>
      <c r="K145" s="27"/>
    </row>
    <row r="146" spans="1:11" x14ac:dyDescent="0.25">
      <c r="A146" t="s">
        <v>146</v>
      </c>
      <c r="B146" s="18">
        <v>1958</v>
      </c>
      <c r="C146" s="2">
        <f t="shared" si="4"/>
        <v>2.7068437180796732</v>
      </c>
      <c r="D146" s="20">
        <v>0.1570417000039015</v>
      </c>
      <c r="E146" s="1">
        <v>2118</v>
      </c>
      <c r="F146" s="20">
        <f t="shared" si="5"/>
        <v>10.056657223796034</v>
      </c>
      <c r="G146" s="2">
        <v>0.22446589999890421</v>
      </c>
      <c r="H146" s="6">
        <v>1905</v>
      </c>
      <c r="I146" s="14">
        <v>0</v>
      </c>
      <c r="J146" s="6">
        <v>4.32</v>
      </c>
      <c r="K146" s="27"/>
    </row>
    <row r="147" spans="1:11" x14ac:dyDescent="0.25">
      <c r="A147" t="s">
        <v>147</v>
      </c>
      <c r="B147" s="18">
        <v>1935</v>
      </c>
      <c r="C147" s="2">
        <f t="shared" si="4"/>
        <v>1.2919896640826873</v>
      </c>
      <c r="D147" s="20">
        <v>0.17662880000716541</v>
      </c>
      <c r="E147" s="1">
        <v>1991</v>
      </c>
      <c r="F147" s="20">
        <f t="shared" si="5"/>
        <v>4.0683073832245107</v>
      </c>
      <c r="G147" s="2">
        <v>0.1243663999921409</v>
      </c>
      <c r="H147" s="6">
        <v>1910</v>
      </c>
      <c r="I147" s="14">
        <v>0</v>
      </c>
      <c r="J147" s="6">
        <v>3.83</v>
      </c>
      <c r="K147" s="27"/>
    </row>
    <row r="148" spans="1:11" x14ac:dyDescent="0.25">
      <c r="A148" t="s">
        <v>148</v>
      </c>
      <c r="B148" s="18">
        <v>1683</v>
      </c>
      <c r="C148" s="2">
        <f t="shared" si="4"/>
        <v>12.418300653594772</v>
      </c>
      <c r="D148" s="20">
        <v>0.33014009999169502</v>
      </c>
      <c r="E148" s="1">
        <v>1571</v>
      </c>
      <c r="F148" s="20">
        <f t="shared" si="5"/>
        <v>6.1744112030553788</v>
      </c>
      <c r="G148" s="2">
        <v>0.2315157000120962</v>
      </c>
      <c r="H148" s="6">
        <v>1474</v>
      </c>
      <c r="I148" s="14">
        <v>0</v>
      </c>
      <c r="J148" s="6">
        <v>4.95</v>
      </c>
      <c r="K148" s="27"/>
    </row>
    <row r="149" spans="1:11" x14ac:dyDescent="0.25">
      <c r="A149" t="s">
        <v>149</v>
      </c>
      <c r="B149" s="18">
        <v>1702</v>
      </c>
      <c r="C149" s="2">
        <f t="shared" si="4"/>
        <v>9.4594594594594597</v>
      </c>
      <c r="D149" s="20">
        <v>0.34098110000195447</v>
      </c>
      <c r="E149" s="1">
        <v>1637</v>
      </c>
      <c r="F149" s="20">
        <f t="shared" si="5"/>
        <v>5.8643860720830787</v>
      </c>
      <c r="G149" s="2">
        <v>0.2287194000091404</v>
      </c>
      <c r="H149" s="6">
        <v>1541</v>
      </c>
      <c r="I149" s="14">
        <v>0</v>
      </c>
      <c r="J149" s="6">
        <v>5.28</v>
      </c>
      <c r="K149" s="27"/>
    </row>
    <row r="150" spans="1:11" x14ac:dyDescent="0.25">
      <c r="A150" s="11" t="s">
        <v>150</v>
      </c>
      <c r="B150" s="21">
        <v>1598</v>
      </c>
      <c r="C150" s="22">
        <f t="shared" si="4"/>
        <v>5.5068836045056324</v>
      </c>
      <c r="D150" s="23">
        <v>0.16706300000078039</v>
      </c>
      <c r="E150" s="24">
        <v>1619</v>
      </c>
      <c r="F150" s="23">
        <f t="shared" si="5"/>
        <v>6.7325509573810987</v>
      </c>
      <c r="G150" s="22">
        <v>0.1532432000094559</v>
      </c>
      <c r="H150" s="9">
        <v>1510</v>
      </c>
      <c r="I150" s="25">
        <v>0</v>
      </c>
      <c r="J150" s="9">
        <v>5.66</v>
      </c>
      <c r="K150" s="10"/>
    </row>
  </sheetData>
  <autoFilter ref="A1:A150" xr:uid="{00000000-0001-0000-0000-000000000000}"/>
  <mergeCells count="4">
    <mergeCell ref="B1:D1"/>
    <mergeCell ref="E1:G1"/>
    <mergeCell ref="O1:R1"/>
    <mergeCell ref="H1:K1"/>
  </mergeCells>
  <conditionalFormatting sqref="C3:C150">
    <cfRule type="expression" dxfId="1" priority="2">
      <formula>C3=MIN($C3,$F3)</formula>
    </cfRule>
  </conditionalFormatting>
  <conditionalFormatting sqref="F3:F150">
    <cfRule type="expression" dxfId="0" priority="1">
      <formula>F3=MIN($C3,$F3)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E81D-7FED-42C1-8365-108525779554}">
  <dimension ref="H6:J16"/>
  <sheetViews>
    <sheetView tabSelected="1" workbookViewId="0">
      <selection activeCell="F14" sqref="F14"/>
    </sheetView>
  </sheetViews>
  <sheetFormatPr defaultRowHeight="15" x14ac:dyDescent="0.25"/>
  <cols>
    <col min="8" max="8" width="16.140625" customWidth="1"/>
    <col min="9" max="9" width="41.28515625" customWidth="1"/>
    <col min="10" max="10" width="32.85546875" customWidth="1"/>
  </cols>
  <sheetData>
    <row r="6" spans="8:10" x14ac:dyDescent="0.25">
      <c r="H6" s="28"/>
      <c r="I6" s="35" t="s">
        <v>171</v>
      </c>
      <c r="J6" s="36"/>
    </row>
    <row r="7" spans="8:10" x14ac:dyDescent="0.25">
      <c r="H7" s="33" t="s">
        <v>159</v>
      </c>
      <c r="I7" s="3" t="s">
        <v>169</v>
      </c>
      <c r="J7" s="34" t="s">
        <v>170</v>
      </c>
    </row>
    <row r="8" spans="8:10" x14ac:dyDescent="0.25">
      <c r="H8" s="29" t="s">
        <v>160</v>
      </c>
      <c r="I8" s="19">
        <f>AVERAGE(Resultados_VND!C3:C34)</f>
        <v>7.2434632420377065</v>
      </c>
      <c r="J8" s="30">
        <f>AVERAGE(Resultados_VND!F3:F34)</f>
        <v>8.3653866800002454</v>
      </c>
    </row>
    <row r="9" spans="8:10" x14ac:dyDescent="0.25">
      <c r="H9" s="29" t="s">
        <v>161</v>
      </c>
      <c r="I9" s="20">
        <f>AVERAGE(Resultados_VND!C35:C46)</f>
        <v>9.6183153516449078</v>
      </c>
      <c r="J9" s="30">
        <f>AVERAGE(Resultados_VND!F35:F46)</f>
        <v>7.576433306640344</v>
      </c>
    </row>
    <row r="10" spans="8:10" x14ac:dyDescent="0.25">
      <c r="H10" s="29" t="s">
        <v>162</v>
      </c>
      <c r="I10" s="20">
        <f>AVERAGE(Resultados_VND!C47:C58)</f>
        <v>8.4384623811523074</v>
      </c>
      <c r="J10" s="30">
        <f>AVERAGE(Resultados_VND!F47:F58)</f>
        <v>6.2189506159329957</v>
      </c>
    </row>
    <row r="11" spans="8:10" x14ac:dyDescent="0.25">
      <c r="H11" s="29" t="s">
        <v>163</v>
      </c>
      <c r="I11" s="20">
        <f>AVERAGE(Resultados_VND!C59:C70)</f>
        <v>8.7390221494980107</v>
      </c>
      <c r="J11" s="30">
        <f>AVERAGE(Resultados_VND!F59:F70)</f>
        <v>6.3285526257247646</v>
      </c>
    </row>
    <row r="12" spans="8:10" x14ac:dyDescent="0.25">
      <c r="H12" s="29" t="s">
        <v>164</v>
      </c>
      <c r="I12" s="20">
        <f>AVERAGE(Resultados_VND!C71:C82)</f>
        <v>8.6414879392138975</v>
      </c>
      <c r="J12" s="30">
        <f>AVERAGE(Resultados_VND!F71:F82)</f>
        <v>5.1682477654818308</v>
      </c>
    </row>
    <row r="13" spans="8:10" x14ac:dyDescent="0.25">
      <c r="H13" s="29" t="s">
        <v>165</v>
      </c>
      <c r="I13" s="20">
        <f>AVERAGE(Resultados_VND!C83:C94)</f>
        <v>9.7459109066923268</v>
      </c>
      <c r="J13" s="30">
        <f>AVERAGE(Resultados_VND!F83:F94)</f>
        <v>6.3374193447986782</v>
      </c>
    </row>
    <row r="14" spans="8:10" x14ac:dyDescent="0.25">
      <c r="H14" s="29" t="s">
        <v>166</v>
      </c>
      <c r="I14" s="20">
        <f>AVERAGE(Resultados_VND!C95:C106)</f>
        <v>9.8867679453360982</v>
      </c>
      <c r="J14" s="30">
        <f>AVERAGE(Resultados_VND!F95:F106)</f>
        <v>7.3000415350302523</v>
      </c>
    </row>
    <row r="15" spans="8:10" x14ac:dyDescent="0.25">
      <c r="H15" s="29" t="s">
        <v>167</v>
      </c>
      <c r="I15" s="20">
        <f>AVERAGE(Resultados_VND!C107:C118)</f>
        <v>8.0299918819910783</v>
      </c>
      <c r="J15" s="30">
        <f>AVERAGE(Resultados_VND!F107:F118)</f>
        <v>6.0533166386985258</v>
      </c>
    </row>
    <row r="16" spans="8:10" x14ac:dyDescent="0.25">
      <c r="H16" s="31" t="s">
        <v>168</v>
      </c>
      <c r="I16" s="23">
        <f>AVERAGE(Resultados_VND!C119:C150)</f>
        <v>5.9605448203778471</v>
      </c>
      <c r="J16" s="32">
        <f>AVERAGE(Resultados_VND!F119:F150)</f>
        <v>5.6698952337230102</v>
      </c>
    </row>
  </sheetData>
  <mergeCells count="1"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Resultados_VND</vt:lpstr>
      <vt:lpstr>Média das dif VND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Gonçalves Assumpção</cp:lastModifiedBy>
  <dcterms:created xsi:type="dcterms:W3CDTF">2026-07-22T05:51:41Z</dcterms:created>
  <dcterms:modified xsi:type="dcterms:W3CDTF">2026-09-03T17:35:07Z</dcterms:modified>
</cp:coreProperties>
</file>